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2019.1\ASP.Demos\ASPxSpreadsheet\CS\App_Data\Documents\"/>
    </mc:Choice>
  </mc:AlternateContent>
  <bookViews>
    <workbookView xWindow="0" yWindow="0" windowWidth="28800" windowHeight="12435"/>
  </bookViews>
  <sheets>
    <sheet name="Business Expense" sheetId="4" r:id="rId1"/>
  </sheets>
  <definedNames>
    <definedName name="_xlnm._FilterDatabase" localSheetId="0" hidden="1">'Business Expense'!$B$6:$B$22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4" l="1"/>
  <c r="H23" i="4"/>
  <c r="G23" i="4"/>
  <c r="F23" i="4"/>
  <c r="E23" i="4"/>
  <c r="D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23" i="4" l="1"/>
</calcChain>
</file>

<file path=xl/sharedStrings.xml><?xml version="1.0" encoding="utf-8"?>
<sst xmlns="http://schemas.openxmlformats.org/spreadsheetml/2006/main" count="47" uniqueCount="33">
  <si>
    <t>Total</t>
  </si>
  <si>
    <t>These columns are not locked</t>
  </si>
  <si>
    <t>These rows are not locked</t>
  </si>
  <si>
    <t>Web site updates</t>
  </si>
  <si>
    <t>Marketing Costs</t>
  </si>
  <si>
    <t>Web site hosting</t>
  </si>
  <si>
    <t>Water</t>
  </si>
  <si>
    <t>Office Costs</t>
  </si>
  <si>
    <t>Wages</t>
  </si>
  <si>
    <t>Employee Costs</t>
  </si>
  <si>
    <t>Training-related travel costs</t>
  </si>
  <si>
    <t>Training/Travel</t>
  </si>
  <si>
    <t>Training classes</t>
  </si>
  <si>
    <t>Telephone</t>
  </si>
  <si>
    <t>Security</t>
  </si>
  <si>
    <t>Office supplies</t>
  </si>
  <si>
    <t>Office lease</t>
  </si>
  <si>
    <t>Marketing events</t>
  </si>
  <si>
    <t>Internet access</t>
  </si>
  <si>
    <t>Gas</t>
  </si>
  <si>
    <t>Electric</t>
  </si>
  <si>
    <t>Collateral printing</t>
  </si>
  <si>
    <t>Collateral preparation</t>
  </si>
  <si>
    <t>Benefits</t>
  </si>
  <si>
    <t>Jun</t>
  </si>
  <si>
    <t>May</t>
  </si>
  <si>
    <t>Apr</t>
  </si>
  <si>
    <t>Mar</t>
  </si>
  <si>
    <t>Feb</t>
  </si>
  <si>
    <t>Jan</t>
  </si>
  <si>
    <t>Detailed Expense Estimates</t>
  </si>
  <si>
    <t>Expenses</t>
  </si>
  <si>
    <t>Expense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</si>
</sst>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&quot;$&quot;#,##0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b/>
      <sz val="14"/>
      <name val="Segoe UI"/>
      <family val="2"/>
    </font>
    <font>
      <i/>
      <sz val="10"/>
      <name val="Segoe UI"/>
      <family val="2"/>
    </font>
    <font>
      <b/>
      <sz val="10"/>
      <name val="Segoe UI"/>
      <family val="2"/>
    </font>
    <font>
      <i/>
      <sz val="10"/>
      <color theme="1"/>
      <name val="Segoe UI"/>
      <family val="2"/>
    </font>
    <font>
      <sz val="11"/>
      <color theme="1"/>
      <name val="Segoe UI"/>
      <family val="2"/>
    </font>
    <font>
      <sz val="10"/>
      <color rgb="FFFFFFFF"/>
      <name val="Segoe UI"/>
      <family val="2"/>
    </font>
    <font>
      <i/>
      <sz val="10"/>
      <color rgb="FFFFFFFF"/>
      <name val="Segoe UI"/>
      <family val="2"/>
    </font>
    <font>
      <b/>
      <sz val="9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56C58A"/>
        <bgColor indexed="64"/>
      </patternFill>
    </fill>
    <fill>
      <patternFill patternType="solid">
        <fgColor rgb="FF659F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2" borderId="2" applyNumberFormat="0" applyFill="0" applyAlignment="0" applyProtection="0"/>
    <xf numFmtId="0" fontId="3" fillId="2" borderId="3" applyNumberFormat="0" applyFill="0" applyAlignment="0" applyProtection="0"/>
    <xf numFmtId="164" fontId="4" fillId="0" borderId="4" applyFill="0" applyBorder="0" applyProtection="0">
      <alignment vertical="center"/>
    </xf>
  </cellStyleXfs>
  <cellXfs count="27">
    <xf numFmtId="0" fontId="0" fillId="0" borderId="0" xfId="0"/>
    <xf numFmtId="0" fontId="6" fillId="0" borderId="0" xfId="0" applyFont="1" applyProtection="1"/>
    <xf numFmtId="0" fontId="7" fillId="0" borderId="0" xfId="1" applyFont="1" applyBorder="1" applyProtection="1"/>
    <xf numFmtId="0" fontId="7" fillId="0" borderId="0" xfId="1" applyFont="1" applyFill="1" applyBorder="1" applyProtection="1"/>
    <xf numFmtId="0" fontId="7" fillId="3" borderId="0" xfId="1" applyFont="1" applyFill="1" applyBorder="1" applyProtection="1">
      <protection locked="0"/>
    </xf>
    <xf numFmtId="0" fontId="5" fillId="0" borderId="0" xfId="0" applyFont="1" applyProtection="1"/>
    <xf numFmtId="0" fontId="6" fillId="0" borderId="0" xfId="0" applyFont="1" applyFill="1" applyProtection="1"/>
    <xf numFmtId="0" fontId="6" fillId="3" borderId="0" xfId="0" applyFont="1" applyFill="1" applyBorder="1" applyProtection="1">
      <protection locked="0"/>
    </xf>
    <xf numFmtId="0" fontId="8" fillId="3" borderId="0" xfId="2" applyFont="1" applyFill="1" applyBorder="1" applyAlignment="1" applyProtection="1">
      <protection locked="0"/>
    </xf>
    <xf numFmtId="0" fontId="8" fillId="0" borderId="0" xfId="2" applyFont="1" applyFill="1" applyBorder="1" applyAlignment="1" applyProtection="1"/>
    <xf numFmtId="0" fontId="10" fillId="0" borderId="0" xfId="0" applyFont="1" applyProtection="1"/>
    <xf numFmtId="0" fontId="5" fillId="3" borderId="0" xfId="0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165" fontId="11" fillId="0" borderId="0" xfId="0" applyNumberFormat="1" applyFont="1" applyFill="1" applyBorder="1" applyProtection="1">
      <protection locked="0"/>
    </xf>
    <xf numFmtId="0" fontId="9" fillId="3" borderId="0" xfId="2" applyFont="1" applyFill="1" applyBorder="1" applyAlignment="1" applyProtection="1">
      <alignment horizontal="left"/>
      <protection locked="0"/>
    </xf>
    <xf numFmtId="0" fontId="5" fillId="0" borderId="0" xfId="0" applyFont="1" applyFill="1" applyProtection="1"/>
    <xf numFmtId="0" fontId="6" fillId="0" borderId="0" xfId="0" applyFont="1" applyFill="1" applyBorder="1" applyProtection="1">
      <protection locked="0"/>
    </xf>
    <xf numFmtId="165" fontId="6" fillId="0" borderId="0" xfId="0" applyNumberFormat="1" applyFont="1" applyFill="1" applyBorder="1" applyProtection="1">
      <protection locked="0"/>
    </xf>
    <xf numFmtId="0" fontId="12" fillId="0" borderId="0" xfId="0" applyFont="1" applyFill="1" applyProtection="1"/>
    <xf numFmtId="165" fontId="12" fillId="0" borderId="0" xfId="0" applyNumberFormat="1" applyFont="1" applyFill="1" applyProtection="1"/>
    <xf numFmtId="0" fontId="13" fillId="3" borderId="0" xfId="2" applyFont="1" applyFill="1" applyBorder="1" applyAlignment="1" applyProtection="1">
      <protection locked="0"/>
    </xf>
    <xf numFmtId="0" fontId="14" fillId="3" borderId="0" xfId="2" applyFont="1" applyFill="1" applyBorder="1" applyAlignment="1" applyProtection="1">
      <alignment horizontal="center"/>
      <protection locked="0"/>
    </xf>
    <xf numFmtId="0" fontId="14" fillId="3" borderId="0" xfId="2" applyFont="1" applyFill="1" applyBorder="1" applyAlignment="1" applyProtection="1">
      <alignment horizontal="left"/>
      <protection locked="0"/>
    </xf>
    <xf numFmtId="0" fontId="12" fillId="4" borderId="0" xfId="0" applyFont="1" applyFill="1" applyBorder="1" applyAlignment="1" applyProtection="1">
      <alignment horizontal="center"/>
      <protection locked="0"/>
    </xf>
    <xf numFmtId="165" fontId="12" fillId="4" borderId="0" xfId="0" applyNumberFormat="1" applyFont="1" applyFill="1" applyBorder="1" applyProtection="1">
      <protection locked="0"/>
    </xf>
    <xf numFmtId="0" fontId="12" fillId="4" borderId="0" xfId="0" applyFont="1" applyFill="1" applyProtection="1">
      <protection locked="0"/>
    </xf>
    <xf numFmtId="0" fontId="12" fillId="4" borderId="0" xfId="0" applyFont="1" applyFill="1" applyAlignment="1" applyProtection="1">
      <alignment horizontal="center"/>
      <protection locked="0"/>
    </xf>
  </cellXfs>
  <cellStyles count="6">
    <cellStyle name="Band Bottom Rule" xfId="4"/>
    <cellStyle name="Band Top Rule" xfId="3"/>
    <cellStyle name="Explanatory Text" xfId="2" builtinId="53"/>
    <cellStyle name="Heading 1" xfId="1" builtinId="16"/>
    <cellStyle name="Hours" xfId="5"/>
    <cellStyle name="Normal" xfId="0" builtinId="0"/>
  </cellStyles>
  <dxfs count="26"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>
          <fgColor indexed="64"/>
          <bgColor rgb="FF659F85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protection locked="1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659F85"/>
        </patternFill>
      </fill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659F85"/>
        </patternFill>
      </fill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659F85"/>
        </patternFill>
      </fill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659F85"/>
        </patternFill>
      </fill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659F85"/>
        </patternFill>
      </fill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659F85"/>
        </patternFill>
      </fill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protection locked="1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protection locked="1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protection locked="1" hidden="0"/>
    </dxf>
    <dxf>
      <font>
        <strike val="0"/>
        <outline val="0"/>
        <shadow val="0"/>
        <u val="none"/>
        <vertAlign val="baseline"/>
        <name val="Segoe UI"/>
        <scheme val="none"/>
      </font>
      <protection locked="0" hidden="0"/>
    </dxf>
    <dxf>
      <fill>
        <patternFill>
          <bgColor rgb="FFDAF2E5"/>
        </patternFill>
      </fill>
    </dxf>
    <dxf>
      <fill>
        <patternFill>
          <bgColor rgb="FF8CC2A5"/>
        </patternFill>
      </fill>
    </dxf>
    <dxf>
      <font>
        <b/>
        <i val="0"/>
        <color rgb="FFFFFFFF"/>
      </font>
      <fill>
        <patternFill>
          <bgColor rgb="FF808080"/>
        </patternFill>
      </fill>
    </dxf>
    <dxf>
      <font>
        <b/>
        <i val="0"/>
        <color theme="0"/>
      </font>
      <fill>
        <patternFill>
          <bgColor rgb="FF808080"/>
        </patternFill>
      </fill>
    </dxf>
    <dxf>
      <font>
        <color auto="1"/>
      </font>
      <fill>
        <patternFill>
          <bgColor rgb="FF56C58A"/>
        </patternFill>
      </fill>
    </dxf>
  </dxfs>
  <tableStyles count="1" defaultTableStyle="TableStyleMedium2" defaultPivotStyle="PivotStyleLight16">
    <tableStyle name="Table Style 1" pivot="0" count="5">
      <tableStyleElement type="wholeTable" dxfId="25"/>
      <tableStyleElement type="headerRow" dxfId="24"/>
      <tableStyleElement type="totalRow" dxfId="23"/>
      <tableStyleElement type="firstRowStripe" dxfId="22"/>
      <tableStyleElement type="secondRowStripe" dxfId="21"/>
    </tableStyle>
  </tableStyles>
  <colors>
    <mruColors>
      <color rgb="FF659F85"/>
      <color rgb="FF768E82"/>
      <color rgb="FFFFFFFF"/>
      <color rgb="FF000000"/>
      <color rgb="FF56C58A"/>
      <color rgb="FFDAF2E5"/>
      <color rgb="FF808080"/>
      <color rgb="FF8CC2A5"/>
      <color rgb="FF90A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Expenses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414409008137504"/>
          <c:y val="0.14300146357611143"/>
          <c:w val="0.36589256993652436"/>
          <c:h val="0.4746273434455594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'Business Expense'!$C$6:$C$22</c:f>
              <c:strCache>
                <c:ptCount val="10"/>
                <c:pt idx="0">
                  <c:v>Benefits</c:v>
                </c:pt>
                <c:pt idx="1">
                  <c:v>Collateral preparation</c:v>
                </c:pt>
                <c:pt idx="2">
                  <c:v>Marketing events</c:v>
                </c:pt>
                <c:pt idx="3">
                  <c:v>Office lease</c:v>
                </c:pt>
                <c:pt idx="4">
                  <c:v>Security</c:v>
                </c:pt>
                <c:pt idx="5">
                  <c:v>Training classes</c:v>
                </c:pt>
                <c:pt idx="6">
                  <c:v>Training-related travel costs</c:v>
                </c:pt>
                <c:pt idx="7">
                  <c:v>Wages</c:v>
                </c:pt>
                <c:pt idx="8">
                  <c:v>Web site hosting</c:v>
                </c:pt>
                <c:pt idx="9">
                  <c:v>Web site updates</c:v>
                </c:pt>
              </c:strCache>
            </c:strRef>
          </c:cat>
          <c:val>
            <c:numRef>
              <c:f>'Business Expense'!$J$6:$J$22</c:f>
              <c:numCache>
                <c:formatCode>"$"#,##0</c:formatCode>
                <c:ptCount val="10"/>
                <c:pt idx="0">
                  <c:v>140130</c:v>
                </c:pt>
                <c:pt idx="1">
                  <c:v>10300</c:v>
                </c:pt>
                <c:pt idx="2">
                  <c:v>14700</c:v>
                </c:pt>
                <c:pt idx="3">
                  <c:v>58800</c:v>
                </c:pt>
                <c:pt idx="4">
                  <c:v>3600</c:v>
                </c:pt>
                <c:pt idx="5">
                  <c:v>11000</c:v>
                </c:pt>
                <c:pt idx="6">
                  <c:v>10300</c:v>
                </c:pt>
                <c:pt idx="7">
                  <c:v>519000</c:v>
                </c:pt>
                <c:pt idx="8">
                  <c:v>3000</c:v>
                </c:pt>
                <c:pt idx="9">
                  <c:v>3130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487144099942677E-2"/>
          <c:y val="0.70480066068402758"/>
          <c:w val="0.94247946502638635"/>
          <c:h val="0.27142519740805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66675</xdr:rowOff>
    </xdr:from>
    <xdr:to>
      <xdr:col>10</xdr:col>
      <xdr:colOff>9525</xdr:colOff>
      <xdr:row>42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22" displayName="Table22" ref="B5:J23" totalsRowCount="1" headerRowDxfId="0" dataDxfId="20" totalsRowDxfId="19">
  <autoFilter ref="B5:J22">
    <filterColumn colId="8">
      <customFilters>
        <customFilter operator="greaterThan" val="2999"/>
      </customFilters>
    </filterColumn>
  </autoFilter>
  <tableColumns count="9">
    <tableColumn id="1" name="Expense Category" totalsRowLabel="Total" dataDxfId="18" totalsRowDxfId="17"/>
    <tableColumn id="2" name="Expenses" dataDxfId="16" totalsRowDxfId="15"/>
    <tableColumn id="3" name="Jan" totalsRowFunction="sum" dataDxfId="14" totalsRowDxfId="13"/>
    <tableColumn id="4" name="Feb" totalsRowFunction="sum" dataDxfId="12" totalsRowDxfId="11"/>
    <tableColumn id="5" name="Mar" totalsRowFunction="sum" dataDxfId="10" totalsRowDxfId="9"/>
    <tableColumn id="6" name="Apr" totalsRowFunction="sum" dataDxfId="8" totalsRowDxfId="7"/>
    <tableColumn id="7" name="May" totalsRowFunction="sum" dataDxfId="6" totalsRowDxfId="5"/>
    <tableColumn id="8" name="Jun" totalsRowFunction="sum" dataDxfId="4" totalsRowDxfId="3"/>
    <tableColumn id="10" name="Total" totalsRowFunction="sum" dataDxfId="2" totalsRowDxfId="1">
      <calculatedColumnFormula>SUM(Table22[[#This Row],[Jan]:[Jun]])</calculatedColumnFormula>
    </tableColumn>
  </tableColumns>
  <tableStyleInfo name="Table Style 1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showGridLines="0" tabSelected="1" workbookViewId="0"/>
  </sheetViews>
  <sheetFormatPr defaultColWidth="0" defaultRowHeight="0" customHeight="1" zeroHeight="1" x14ac:dyDescent="0.25"/>
  <cols>
    <col min="1" max="1" width="1.42578125" style="5" customWidth="1"/>
    <col min="2" max="2" width="19.28515625" style="5" customWidth="1"/>
    <col min="3" max="3" width="24.28515625" style="5" customWidth="1"/>
    <col min="4" max="9" width="9.5703125" style="11" customWidth="1"/>
    <col min="10" max="10" width="10.28515625" style="15" customWidth="1"/>
    <col min="11" max="11" width="2.85546875" style="5" customWidth="1"/>
    <col min="12" max="14" width="9.140625" style="5" customWidth="1"/>
    <col min="15" max="19" width="9.140625" style="5" hidden="1" customWidth="1"/>
    <col min="20" max="25" width="0" style="5" hidden="1" customWidth="1"/>
    <col min="26" max="16384" width="9.140625" style="5" hidden="1"/>
  </cols>
  <sheetData>
    <row r="1" spans="1:20" ht="20.25" x14ac:dyDescent="0.35">
      <c r="A1" s="1"/>
      <c r="B1" s="2" t="s">
        <v>30</v>
      </c>
      <c r="C1" s="3"/>
      <c r="D1" s="4"/>
      <c r="E1" s="4"/>
      <c r="F1" s="4"/>
      <c r="G1" s="4"/>
      <c r="H1" s="4"/>
      <c r="I1" s="4"/>
      <c r="J1" s="3"/>
      <c r="K1" s="1"/>
      <c r="L1" s="1"/>
      <c r="M1" s="1"/>
      <c r="N1" s="1"/>
    </row>
    <row r="2" spans="1:20" ht="14.25" x14ac:dyDescent="0.25">
      <c r="A2" s="1"/>
      <c r="B2" s="1"/>
      <c r="C2" s="6"/>
      <c r="D2" s="7"/>
      <c r="E2" s="7"/>
      <c r="F2" s="7"/>
      <c r="G2" s="7"/>
      <c r="H2" s="7"/>
      <c r="I2" s="7"/>
      <c r="J2" s="6"/>
      <c r="K2" s="1"/>
      <c r="L2" s="1"/>
      <c r="M2" s="1"/>
      <c r="N2" s="1"/>
    </row>
    <row r="3" spans="1:20" ht="14.25" x14ac:dyDescent="0.25">
      <c r="A3" s="1"/>
      <c r="B3" s="1"/>
      <c r="C3" s="6"/>
      <c r="D3" s="8"/>
      <c r="E3" s="8"/>
      <c r="F3" s="20"/>
      <c r="G3" s="21" t="s">
        <v>1</v>
      </c>
      <c r="H3" s="8"/>
      <c r="I3" s="8"/>
      <c r="J3" s="9"/>
      <c r="K3" s="1"/>
      <c r="L3" s="1"/>
      <c r="M3" s="1"/>
      <c r="N3" s="1"/>
    </row>
    <row r="4" spans="1:20" ht="15" customHeight="1" x14ac:dyDescent="0.25">
      <c r="A4" s="1"/>
      <c r="B4" s="1"/>
      <c r="C4" s="6"/>
      <c r="D4" s="8"/>
      <c r="E4" s="8"/>
      <c r="F4" s="8"/>
      <c r="G4" s="8"/>
      <c r="H4" s="8"/>
      <c r="I4" s="8"/>
      <c r="J4" s="6"/>
      <c r="K4" s="1"/>
      <c r="L4" s="1"/>
      <c r="M4" s="1"/>
      <c r="N4" s="1"/>
      <c r="T4" s="10"/>
    </row>
    <row r="5" spans="1:20" ht="14.25" x14ac:dyDescent="0.25">
      <c r="A5" s="1"/>
      <c r="B5" s="25" t="s">
        <v>32</v>
      </c>
      <c r="C5" s="25" t="s">
        <v>31</v>
      </c>
      <c r="D5" s="23" t="s">
        <v>29</v>
      </c>
      <c r="E5" s="23" t="s">
        <v>28</v>
      </c>
      <c r="F5" s="23" t="s">
        <v>27</v>
      </c>
      <c r="G5" s="23" t="s">
        <v>26</v>
      </c>
      <c r="H5" s="23" t="s">
        <v>25</v>
      </c>
      <c r="I5" s="23" t="s">
        <v>24</v>
      </c>
      <c r="J5" s="26" t="s">
        <v>0</v>
      </c>
      <c r="K5" s="1"/>
      <c r="L5" s="1"/>
      <c r="M5" s="1"/>
      <c r="N5" s="1"/>
    </row>
    <row r="6" spans="1:20" s="11" customFormat="1" ht="14.25" x14ac:dyDescent="0.25">
      <c r="A6" s="7"/>
      <c r="B6" s="16" t="s">
        <v>9</v>
      </c>
      <c r="C6" s="16" t="s">
        <v>23</v>
      </c>
      <c r="D6" s="17">
        <v>22950</v>
      </c>
      <c r="E6" s="17">
        <v>22950</v>
      </c>
      <c r="F6" s="17">
        <v>22950</v>
      </c>
      <c r="G6" s="17">
        <v>23760</v>
      </c>
      <c r="H6" s="17">
        <v>23760</v>
      </c>
      <c r="I6" s="17">
        <v>23760</v>
      </c>
      <c r="J6" s="17">
        <f>SUM(Table22[[#This Row],[Jan]:[Jun]])</f>
        <v>140130</v>
      </c>
      <c r="K6" s="7"/>
      <c r="L6" s="7"/>
      <c r="M6" s="7"/>
      <c r="N6" s="7"/>
    </row>
    <row r="7" spans="1:20" s="11" customFormat="1" ht="14.25" x14ac:dyDescent="0.25">
      <c r="A7" s="7"/>
      <c r="B7" s="16" t="s">
        <v>4</v>
      </c>
      <c r="C7" s="16" t="s">
        <v>22</v>
      </c>
      <c r="D7" s="17">
        <v>4800</v>
      </c>
      <c r="E7" s="17">
        <v>0</v>
      </c>
      <c r="F7" s="17">
        <v>0</v>
      </c>
      <c r="G7" s="17">
        <v>5500</v>
      </c>
      <c r="H7" s="17">
        <v>0</v>
      </c>
      <c r="I7" s="17">
        <v>0</v>
      </c>
      <c r="J7" s="17">
        <f>SUM(Table22[[#This Row],[Jan]:[Jun]])</f>
        <v>10300</v>
      </c>
      <c r="K7" s="7"/>
      <c r="L7" s="7"/>
      <c r="M7" s="7"/>
      <c r="N7" s="7"/>
    </row>
    <row r="8" spans="1:20" s="11" customFormat="1" ht="16.5" hidden="1" x14ac:dyDescent="0.3">
      <c r="B8" s="12" t="s">
        <v>4</v>
      </c>
      <c r="C8" s="12" t="s">
        <v>21</v>
      </c>
      <c r="D8" s="13">
        <v>100</v>
      </c>
      <c r="E8" s="13">
        <v>500</v>
      </c>
      <c r="F8" s="13">
        <v>100</v>
      </c>
      <c r="G8" s="13">
        <v>100</v>
      </c>
      <c r="H8" s="13">
        <v>600</v>
      </c>
      <c r="I8" s="13">
        <v>180</v>
      </c>
      <c r="J8" s="13">
        <f>SUM(Table22[[#This Row],[Jan]:[Jun]])</f>
        <v>1580</v>
      </c>
    </row>
    <row r="9" spans="1:20" s="11" customFormat="1" ht="16.5" hidden="1" x14ac:dyDescent="0.3">
      <c r="B9" s="12" t="s">
        <v>7</v>
      </c>
      <c r="C9" s="12" t="s">
        <v>20</v>
      </c>
      <c r="D9" s="13">
        <v>288</v>
      </c>
      <c r="E9" s="13">
        <v>278</v>
      </c>
      <c r="F9" s="13">
        <v>268</v>
      </c>
      <c r="G9" s="13">
        <v>299</v>
      </c>
      <c r="H9" s="13">
        <v>306</v>
      </c>
      <c r="I9" s="13">
        <v>290</v>
      </c>
      <c r="J9" s="13">
        <f>SUM(Table22[[#This Row],[Jan]:[Jun]])</f>
        <v>1729</v>
      </c>
    </row>
    <row r="10" spans="1:20" s="11" customFormat="1" ht="16.5" hidden="1" x14ac:dyDescent="0.3">
      <c r="B10" s="12" t="s">
        <v>7</v>
      </c>
      <c r="C10" s="12" t="s">
        <v>19</v>
      </c>
      <c r="D10" s="13">
        <v>4</v>
      </c>
      <c r="E10" s="13">
        <v>430</v>
      </c>
      <c r="F10" s="13">
        <v>385</v>
      </c>
      <c r="G10" s="13">
        <v>230</v>
      </c>
      <c r="H10" s="13">
        <v>87</v>
      </c>
      <c r="I10" s="13">
        <v>88</v>
      </c>
      <c r="J10" s="13">
        <f>SUM(Table22[[#This Row],[Jan]:[Jun]])</f>
        <v>1224</v>
      </c>
    </row>
    <row r="11" spans="1:20" s="11" customFormat="1" ht="16.5" hidden="1" x14ac:dyDescent="0.3">
      <c r="B11" s="12" t="s">
        <v>7</v>
      </c>
      <c r="C11" s="12" t="s">
        <v>18</v>
      </c>
      <c r="D11" s="13">
        <v>180</v>
      </c>
      <c r="E11" s="13">
        <v>180</v>
      </c>
      <c r="F11" s="13">
        <v>180</v>
      </c>
      <c r="G11" s="13">
        <v>180</v>
      </c>
      <c r="H11" s="13">
        <v>180</v>
      </c>
      <c r="I11" s="13">
        <v>180</v>
      </c>
      <c r="J11" s="13">
        <f>SUM(Table22[[#This Row],[Jan]:[Jun]])</f>
        <v>1080</v>
      </c>
    </row>
    <row r="12" spans="1:20" s="11" customFormat="1" ht="14.25" x14ac:dyDescent="0.25">
      <c r="A12" s="7"/>
      <c r="B12" s="16" t="s">
        <v>4</v>
      </c>
      <c r="C12" s="16" t="s">
        <v>17</v>
      </c>
      <c r="D12" s="17">
        <v>1800</v>
      </c>
      <c r="E12" s="17">
        <v>2200</v>
      </c>
      <c r="F12" s="17">
        <v>2200</v>
      </c>
      <c r="G12" s="17">
        <v>4700</v>
      </c>
      <c r="H12" s="17">
        <v>1500</v>
      </c>
      <c r="I12" s="17">
        <v>2300</v>
      </c>
      <c r="J12" s="17">
        <f>SUM(Table22[[#This Row],[Jan]:[Jun]])</f>
        <v>14700</v>
      </c>
      <c r="K12" s="7"/>
      <c r="L12" s="7"/>
      <c r="M12" s="7"/>
      <c r="N12" s="7"/>
    </row>
    <row r="13" spans="1:20" s="11" customFormat="1" ht="14.25" x14ac:dyDescent="0.25">
      <c r="A13" s="7"/>
      <c r="B13" s="16" t="s">
        <v>7</v>
      </c>
      <c r="C13" s="16" t="s">
        <v>16</v>
      </c>
      <c r="D13" s="17">
        <v>9800</v>
      </c>
      <c r="E13" s="17">
        <v>9800</v>
      </c>
      <c r="F13" s="17">
        <v>9800</v>
      </c>
      <c r="G13" s="17">
        <v>9800</v>
      </c>
      <c r="H13" s="17">
        <v>9800</v>
      </c>
      <c r="I13" s="17">
        <v>9800</v>
      </c>
      <c r="J13" s="17">
        <f>SUM(Table22[[#This Row],[Jan]:[Jun]])</f>
        <v>58800</v>
      </c>
      <c r="K13" s="7"/>
      <c r="L13" s="7"/>
      <c r="M13" s="7"/>
      <c r="N13" s="7"/>
    </row>
    <row r="14" spans="1:20" s="11" customFormat="1" ht="16.5" hidden="1" x14ac:dyDescent="0.3">
      <c r="B14" s="12" t="s">
        <v>7</v>
      </c>
      <c r="C14" s="12" t="s">
        <v>15</v>
      </c>
      <c r="D14" s="13">
        <v>256</v>
      </c>
      <c r="E14" s="13">
        <v>142</v>
      </c>
      <c r="F14" s="13">
        <v>160</v>
      </c>
      <c r="G14" s="13">
        <v>221</v>
      </c>
      <c r="H14" s="13">
        <v>256</v>
      </c>
      <c r="I14" s="13">
        <v>240</v>
      </c>
      <c r="J14" s="13">
        <f>SUM(Table22[[#This Row],[Jan]:[Jun]])</f>
        <v>1275</v>
      </c>
    </row>
    <row r="15" spans="1:20" s="11" customFormat="1" ht="14.25" x14ac:dyDescent="0.25">
      <c r="A15" s="7"/>
      <c r="B15" s="16" t="s">
        <v>7</v>
      </c>
      <c r="C15" s="16" t="s">
        <v>14</v>
      </c>
      <c r="D15" s="17">
        <v>600</v>
      </c>
      <c r="E15" s="17">
        <v>600</v>
      </c>
      <c r="F15" s="17">
        <v>600</v>
      </c>
      <c r="G15" s="17">
        <v>600</v>
      </c>
      <c r="H15" s="17">
        <v>600</v>
      </c>
      <c r="I15" s="17">
        <v>600</v>
      </c>
      <c r="J15" s="17">
        <f>SUM(Table22[[#This Row],[Jan]:[Jun]])</f>
        <v>3600</v>
      </c>
      <c r="K15" s="7"/>
      <c r="L15" s="22" t="s">
        <v>2</v>
      </c>
      <c r="M15" s="14"/>
      <c r="N15" s="7"/>
    </row>
    <row r="16" spans="1:20" s="11" customFormat="1" ht="16.5" hidden="1" x14ac:dyDescent="0.3">
      <c r="B16" s="12" t="s">
        <v>7</v>
      </c>
      <c r="C16" s="12" t="s">
        <v>13</v>
      </c>
      <c r="D16" s="13">
        <v>224</v>
      </c>
      <c r="E16" s="13">
        <v>235</v>
      </c>
      <c r="F16" s="13">
        <v>265</v>
      </c>
      <c r="G16" s="13">
        <v>245</v>
      </c>
      <c r="H16" s="13">
        <v>245</v>
      </c>
      <c r="I16" s="13">
        <v>220</v>
      </c>
      <c r="J16" s="13">
        <f>SUM(Table22[[#This Row],[Jan]:[Jun]])</f>
        <v>1434</v>
      </c>
    </row>
    <row r="17" spans="1:25" s="11" customFormat="1" ht="14.25" x14ac:dyDescent="0.25">
      <c r="A17" s="7"/>
      <c r="B17" s="16" t="s">
        <v>11</v>
      </c>
      <c r="C17" s="16" t="s">
        <v>12</v>
      </c>
      <c r="D17" s="17">
        <v>1600</v>
      </c>
      <c r="E17" s="17">
        <v>2400</v>
      </c>
      <c r="F17" s="17">
        <v>1400</v>
      </c>
      <c r="G17" s="17">
        <v>1600</v>
      </c>
      <c r="H17" s="17">
        <v>1200</v>
      </c>
      <c r="I17" s="17">
        <v>2800</v>
      </c>
      <c r="J17" s="17">
        <f>SUM(Table22[[#This Row],[Jan]:[Jun]])</f>
        <v>11000</v>
      </c>
      <c r="K17" s="7"/>
      <c r="L17" s="7"/>
      <c r="M17" s="7"/>
      <c r="N17" s="7"/>
    </row>
    <row r="18" spans="1:25" s="11" customFormat="1" ht="14.25" x14ac:dyDescent="0.25">
      <c r="A18" s="7"/>
      <c r="B18" s="16" t="s">
        <v>11</v>
      </c>
      <c r="C18" s="16" t="s">
        <v>10</v>
      </c>
      <c r="D18" s="17">
        <v>1200</v>
      </c>
      <c r="E18" s="17">
        <v>2200</v>
      </c>
      <c r="F18" s="17">
        <v>1400</v>
      </c>
      <c r="G18" s="17">
        <v>1200</v>
      </c>
      <c r="H18" s="17">
        <v>800</v>
      </c>
      <c r="I18" s="17">
        <v>3500</v>
      </c>
      <c r="J18" s="17">
        <f>SUM(Table22[[#This Row],[Jan]:[Jun]])</f>
        <v>10300</v>
      </c>
      <c r="K18" s="7"/>
      <c r="L18" s="7"/>
      <c r="M18" s="7"/>
      <c r="N18" s="7"/>
    </row>
    <row r="19" spans="1:25" s="11" customFormat="1" ht="14.25" x14ac:dyDescent="0.25">
      <c r="A19" s="7"/>
      <c r="B19" s="16" t="s">
        <v>9</v>
      </c>
      <c r="C19" s="16" t="s">
        <v>8</v>
      </c>
      <c r="D19" s="17">
        <v>85000</v>
      </c>
      <c r="E19" s="17">
        <v>85000</v>
      </c>
      <c r="F19" s="17">
        <v>85000</v>
      </c>
      <c r="G19" s="17">
        <v>88000</v>
      </c>
      <c r="H19" s="17">
        <v>88000</v>
      </c>
      <c r="I19" s="17">
        <v>88000</v>
      </c>
      <c r="J19" s="17">
        <f>SUM(Table22[[#This Row],[Jan]:[Jun]])</f>
        <v>519000</v>
      </c>
      <c r="K19" s="7"/>
      <c r="L19" s="7"/>
      <c r="M19" s="7"/>
      <c r="N19" s="7"/>
    </row>
    <row r="20" spans="1:25" s="11" customFormat="1" ht="16.5" hidden="1" x14ac:dyDescent="0.3">
      <c r="B20" s="12" t="s">
        <v>7</v>
      </c>
      <c r="C20" s="12" t="s">
        <v>6</v>
      </c>
      <c r="D20" s="13">
        <v>35</v>
      </c>
      <c r="E20" s="13">
        <v>33</v>
      </c>
      <c r="F20" s="13">
        <v>34</v>
      </c>
      <c r="G20" s="13">
        <v>36</v>
      </c>
      <c r="H20" s="13">
        <v>34</v>
      </c>
      <c r="I20" s="13">
        <v>36</v>
      </c>
      <c r="J20" s="13">
        <f>SUM(Table22[[#This Row],[Jan]:[Jun]])</f>
        <v>208</v>
      </c>
    </row>
    <row r="21" spans="1:25" s="11" customFormat="1" ht="14.25" x14ac:dyDescent="0.25">
      <c r="A21" s="7"/>
      <c r="B21" s="16" t="s">
        <v>4</v>
      </c>
      <c r="C21" s="16" t="s">
        <v>5</v>
      </c>
      <c r="D21" s="17">
        <v>500</v>
      </c>
      <c r="E21" s="17">
        <v>500</v>
      </c>
      <c r="F21" s="17">
        <v>500</v>
      </c>
      <c r="G21" s="17">
        <v>500</v>
      </c>
      <c r="H21" s="17">
        <v>500</v>
      </c>
      <c r="I21" s="17">
        <v>500</v>
      </c>
      <c r="J21" s="17">
        <f>SUM(Table22[[#This Row],[Jan]:[Jun]])</f>
        <v>3000</v>
      </c>
      <c r="K21" s="7"/>
      <c r="L21" s="7"/>
      <c r="M21" s="7"/>
      <c r="N21" s="7"/>
    </row>
    <row r="22" spans="1:25" s="11" customFormat="1" ht="14.25" x14ac:dyDescent="0.25">
      <c r="A22" s="7"/>
      <c r="B22" s="16" t="s">
        <v>4</v>
      </c>
      <c r="C22" s="16" t="s">
        <v>3</v>
      </c>
      <c r="D22" s="17">
        <v>220</v>
      </c>
      <c r="E22" s="17">
        <v>230</v>
      </c>
      <c r="F22" s="17">
        <v>280</v>
      </c>
      <c r="G22" s="17">
        <v>280</v>
      </c>
      <c r="H22" s="17">
        <v>220</v>
      </c>
      <c r="I22" s="17">
        <v>1900</v>
      </c>
      <c r="J22" s="17">
        <f>SUM(Table22[[#This Row],[Jan]:[Jun]])</f>
        <v>3130</v>
      </c>
      <c r="K22" s="7"/>
      <c r="L22" s="7"/>
      <c r="M22" s="7"/>
      <c r="N22" s="7"/>
    </row>
    <row r="23" spans="1:25" ht="14.25" x14ac:dyDescent="0.25">
      <c r="A23" s="6"/>
      <c r="B23" s="18" t="s">
        <v>0</v>
      </c>
      <c r="C23" s="18"/>
      <c r="D23" s="24">
        <f>SUBTOTAL(109,Table22[Jan])</f>
        <v>128470</v>
      </c>
      <c r="E23" s="24">
        <f>SUBTOTAL(109,Table22[Feb])</f>
        <v>125880</v>
      </c>
      <c r="F23" s="24">
        <f>SUBTOTAL(109,Table22[Mar])</f>
        <v>124130</v>
      </c>
      <c r="G23" s="24">
        <f>SUBTOTAL(109,Table22[Apr])</f>
        <v>135940</v>
      </c>
      <c r="H23" s="24">
        <f>SUBTOTAL(109,Table22[May])</f>
        <v>126380</v>
      </c>
      <c r="I23" s="24">
        <f>SUBTOTAL(109,Table22[Jun])</f>
        <v>133160</v>
      </c>
      <c r="J23" s="19">
        <f>SUBTOTAL(109,Table22[Total])</f>
        <v>773960</v>
      </c>
      <c r="K23" s="6"/>
      <c r="L23" s="6"/>
      <c r="M23" s="6"/>
      <c r="N23" s="6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14.25" x14ac:dyDescent="0.25">
      <c r="A24" s="1"/>
      <c r="B24" s="1"/>
      <c r="C24" s="6"/>
      <c r="D24" s="7"/>
      <c r="E24" s="7"/>
      <c r="F24" s="7"/>
      <c r="G24" s="7"/>
      <c r="H24" s="7"/>
      <c r="I24" s="7"/>
      <c r="J24" s="6"/>
      <c r="K24" s="6"/>
      <c r="L24" s="6"/>
      <c r="M24" s="6"/>
      <c r="N24" s="6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14.25" x14ac:dyDescent="0.25">
      <c r="A25" s="1"/>
      <c r="B25" s="1"/>
      <c r="C25" s="6"/>
      <c r="D25" s="7"/>
      <c r="E25" s="7"/>
      <c r="F25" s="7"/>
      <c r="G25" s="7"/>
      <c r="H25" s="7"/>
      <c r="I25" s="7"/>
      <c r="J25" s="6"/>
      <c r="K25" s="6"/>
      <c r="L25" s="6"/>
      <c r="M25" s="6"/>
      <c r="N25" s="6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14.25" x14ac:dyDescent="0.25">
      <c r="A26" s="1"/>
      <c r="B26" s="1"/>
      <c r="C26" s="6"/>
      <c r="D26" s="7"/>
      <c r="E26" s="7"/>
      <c r="F26" s="7"/>
      <c r="G26" s="7"/>
      <c r="H26" s="7"/>
      <c r="I26" s="7"/>
      <c r="J26" s="6"/>
      <c r="K26" s="6"/>
      <c r="L26" s="6"/>
      <c r="M26" s="6"/>
      <c r="N26" s="6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4.25" x14ac:dyDescent="0.25">
      <c r="A27" s="1"/>
      <c r="B27" s="1"/>
      <c r="C27" s="6"/>
      <c r="D27" s="7"/>
      <c r="E27" s="7"/>
      <c r="F27" s="7"/>
      <c r="G27" s="7"/>
      <c r="H27" s="7"/>
      <c r="I27" s="7"/>
      <c r="J27" s="6"/>
      <c r="K27" s="6"/>
      <c r="L27" s="6"/>
      <c r="M27" s="6"/>
      <c r="N27" s="6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4.25" x14ac:dyDescent="0.25">
      <c r="A28" s="1"/>
      <c r="B28" s="1"/>
      <c r="C28" s="6"/>
      <c r="D28" s="7"/>
      <c r="E28" s="7"/>
      <c r="F28" s="7"/>
      <c r="G28" s="7"/>
      <c r="H28" s="7"/>
      <c r="I28" s="7"/>
      <c r="J28" s="6"/>
      <c r="K28" s="6"/>
      <c r="L28" s="6"/>
      <c r="M28" s="6"/>
      <c r="N28" s="1"/>
    </row>
    <row r="29" spans="1:25" ht="14.25" x14ac:dyDescent="0.25">
      <c r="A29" s="1"/>
      <c r="B29" s="1"/>
      <c r="C29" s="6"/>
      <c r="D29" s="7"/>
      <c r="E29" s="7"/>
      <c r="F29" s="7"/>
      <c r="G29" s="7"/>
      <c r="H29" s="7"/>
      <c r="I29" s="7"/>
      <c r="J29" s="6"/>
      <c r="K29" s="6"/>
      <c r="L29" s="6"/>
      <c r="M29" s="6"/>
      <c r="N29" s="1"/>
    </row>
    <row r="30" spans="1:25" ht="14.25" x14ac:dyDescent="0.25">
      <c r="A30" s="1"/>
      <c r="B30" s="1"/>
      <c r="C30" s="6"/>
      <c r="D30" s="7"/>
      <c r="E30" s="7"/>
      <c r="F30" s="7"/>
      <c r="G30" s="7"/>
      <c r="H30" s="7"/>
      <c r="I30" s="7"/>
      <c r="J30" s="6"/>
      <c r="K30" s="6"/>
      <c r="L30" s="6"/>
      <c r="M30" s="6"/>
      <c r="N30" s="1"/>
    </row>
    <row r="31" spans="1:25" ht="14.25" x14ac:dyDescent="0.25">
      <c r="A31" s="1"/>
      <c r="B31" s="1"/>
      <c r="C31" s="6"/>
      <c r="D31" s="7"/>
      <c r="E31" s="7"/>
      <c r="F31" s="7"/>
      <c r="G31" s="7"/>
      <c r="H31" s="7"/>
      <c r="I31" s="7"/>
      <c r="J31" s="6"/>
      <c r="K31" s="6"/>
      <c r="L31" s="6"/>
      <c r="M31" s="6"/>
      <c r="N31" s="1"/>
    </row>
    <row r="32" spans="1:25" ht="14.25" x14ac:dyDescent="0.25">
      <c r="A32" s="1"/>
      <c r="B32" s="1"/>
      <c r="C32" s="6"/>
      <c r="D32" s="7"/>
      <c r="E32" s="7"/>
      <c r="F32" s="7"/>
      <c r="G32" s="7"/>
      <c r="H32" s="7"/>
      <c r="I32" s="7"/>
      <c r="J32" s="6"/>
      <c r="K32" s="6"/>
      <c r="L32" s="6"/>
      <c r="M32" s="6"/>
      <c r="N32" s="1"/>
    </row>
    <row r="33" spans="1:14" ht="14.25" x14ac:dyDescent="0.25">
      <c r="A33" s="1"/>
      <c r="B33" s="1"/>
      <c r="C33" s="6"/>
      <c r="D33" s="7"/>
      <c r="E33" s="7"/>
      <c r="F33" s="7"/>
      <c r="G33" s="7"/>
      <c r="H33" s="7"/>
      <c r="I33" s="7"/>
      <c r="J33" s="6"/>
      <c r="K33" s="6"/>
      <c r="L33" s="6"/>
      <c r="M33" s="6"/>
      <c r="N33" s="1"/>
    </row>
    <row r="34" spans="1:14" ht="14.25" x14ac:dyDescent="0.25">
      <c r="A34" s="1"/>
      <c r="B34" s="1"/>
      <c r="C34" s="6"/>
      <c r="D34" s="7"/>
      <c r="E34" s="7"/>
      <c r="F34" s="7"/>
      <c r="G34" s="7"/>
      <c r="H34" s="7"/>
      <c r="I34" s="7"/>
      <c r="J34" s="6"/>
      <c r="K34" s="6"/>
      <c r="L34" s="6"/>
      <c r="M34" s="6"/>
      <c r="N34" s="1"/>
    </row>
    <row r="35" spans="1:14" ht="14.25" x14ac:dyDescent="0.25">
      <c r="A35" s="1"/>
      <c r="B35" s="1"/>
      <c r="C35" s="6"/>
      <c r="D35" s="7"/>
      <c r="E35" s="7"/>
      <c r="F35" s="7"/>
      <c r="G35" s="7"/>
      <c r="H35" s="7"/>
      <c r="I35" s="7"/>
      <c r="J35" s="6"/>
      <c r="K35" s="6"/>
      <c r="L35" s="6"/>
      <c r="M35" s="6"/>
      <c r="N35" s="1"/>
    </row>
    <row r="36" spans="1:14" ht="14.25" x14ac:dyDescent="0.25">
      <c r="A36" s="1"/>
      <c r="B36" s="1"/>
      <c r="C36" s="6"/>
      <c r="D36" s="7"/>
      <c r="E36" s="7"/>
      <c r="F36" s="7"/>
      <c r="G36" s="7"/>
      <c r="H36" s="7"/>
      <c r="I36" s="7"/>
      <c r="J36" s="6"/>
      <c r="K36" s="6"/>
      <c r="L36" s="6"/>
      <c r="M36" s="6"/>
      <c r="N36" s="1"/>
    </row>
    <row r="37" spans="1:14" ht="14.25" x14ac:dyDescent="0.25">
      <c r="A37" s="1"/>
      <c r="B37" s="1"/>
      <c r="C37" s="6"/>
      <c r="D37" s="7"/>
      <c r="E37" s="7"/>
      <c r="F37" s="7"/>
      <c r="G37" s="7"/>
      <c r="H37" s="7"/>
      <c r="I37" s="7"/>
      <c r="J37" s="6"/>
      <c r="K37" s="6"/>
      <c r="L37" s="6"/>
      <c r="M37" s="6"/>
      <c r="N37" s="1"/>
    </row>
    <row r="38" spans="1:14" ht="14.25" x14ac:dyDescent="0.25">
      <c r="A38" s="1"/>
      <c r="B38" s="1"/>
      <c r="C38" s="6"/>
      <c r="D38" s="7"/>
      <c r="E38" s="7"/>
      <c r="F38" s="7"/>
      <c r="G38" s="7"/>
      <c r="H38" s="7"/>
      <c r="I38" s="7"/>
      <c r="J38" s="6"/>
      <c r="K38" s="6"/>
      <c r="L38" s="6"/>
      <c r="M38" s="6"/>
      <c r="N38" s="1"/>
    </row>
    <row r="39" spans="1:14" ht="14.25" x14ac:dyDescent="0.25">
      <c r="A39" s="1"/>
      <c r="B39" s="1"/>
      <c r="C39" s="6"/>
      <c r="D39" s="7"/>
      <c r="E39" s="7"/>
      <c r="F39" s="7"/>
      <c r="G39" s="7"/>
      <c r="H39" s="7"/>
      <c r="I39" s="7"/>
      <c r="J39" s="6"/>
      <c r="K39" s="6"/>
      <c r="L39" s="6"/>
      <c r="M39" s="6"/>
      <c r="N39" s="1"/>
    </row>
    <row r="40" spans="1:14" ht="14.25" x14ac:dyDescent="0.25">
      <c r="A40" s="1"/>
      <c r="B40" s="1"/>
      <c r="C40" s="6"/>
      <c r="D40" s="7"/>
      <c r="E40" s="7"/>
      <c r="F40" s="7"/>
      <c r="G40" s="7"/>
      <c r="H40" s="7"/>
      <c r="I40" s="7"/>
      <c r="J40" s="6"/>
      <c r="K40" s="6"/>
      <c r="L40" s="6"/>
      <c r="M40" s="6"/>
      <c r="N40" s="1"/>
    </row>
    <row r="41" spans="1:14" ht="14.25" x14ac:dyDescent="0.25">
      <c r="A41" s="1"/>
      <c r="B41" s="1"/>
      <c r="C41" s="6"/>
      <c r="D41" s="7"/>
      <c r="E41" s="7"/>
      <c r="F41" s="7"/>
      <c r="G41" s="7"/>
      <c r="H41" s="7"/>
      <c r="I41" s="7"/>
      <c r="J41" s="6"/>
      <c r="K41" s="6"/>
      <c r="L41" s="6"/>
      <c r="M41" s="6"/>
      <c r="N41" s="1"/>
    </row>
    <row r="42" spans="1:14" ht="14.25" x14ac:dyDescent="0.25">
      <c r="A42" s="1"/>
      <c r="B42" s="1"/>
      <c r="C42" s="6"/>
      <c r="D42" s="7"/>
      <c r="E42" s="7"/>
      <c r="F42" s="7"/>
      <c r="G42" s="7"/>
      <c r="H42" s="7"/>
      <c r="I42" s="7"/>
      <c r="J42" s="6"/>
      <c r="K42" s="6"/>
      <c r="L42" s="6"/>
      <c r="M42" s="6"/>
      <c r="N42" s="1"/>
    </row>
    <row r="43" spans="1:14" ht="14.25" x14ac:dyDescent="0.25">
      <c r="A43" s="1"/>
      <c r="B43" s="1"/>
      <c r="C43" s="6"/>
      <c r="D43" s="7"/>
      <c r="E43" s="7"/>
      <c r="F43" s="7"/>
      <c r="G43" s="7"/>
      <c r="H43" s="7"/>
      <c r="I43" s="7"/>
      <c r="J43" s="6"/>
      <c r="K43" s="6"/>
      <c r="L43" s="6"/>
      <c r="M43" s="6"/>
      <c r="N43" s="1"/>
    </row>
    <row r="44" spans="1:14" ht="14.25" hidden="1" x14ac:dyDescent="0.25">
      <c r="C44" s="15"/>
      <c r="K44" s="15"/>
      <c r="L44" s="15"/>
      <c r="M44" s="15"/>
    </row>
    <row r="45" spans="1:14" ht="14.25" hidden="1" x14ac:dyDescent="0.25">
      <c r="C45" s="15"/>
      <c r="K45" s="15"/>
      <c r="L45" s="15"/>
      <c r="M45" s="15"/>
    </row>
    <row r="46" spans="1:14" ht="14.25" hidden="1" x14ac:dyDescent="0.25">
      <c r="C46" s="15"/>
      <c r="K46" s="15"/>
      <c r="L46" s="15"/>
      <c r="M46" s="15"/>
    </row>
    <row r="47" spans="1:14" ht="14.25" hidden="1" x14ac:dyDescent="0.25">
      <c r="C47" s="15"/>
      <c r="K47" s="15"/>
      <c r="L47" s="15"/>
      <c r="M47" s="15"/>
    </row>
    <row r="48" spans="1:14" ht="14.25" hidden="1" x14ac:dyDescent="0.25">
      <c r="C48" s="15"/>
      <c r="K48" s="15"/>
      <c r="L48" s="15"/>
      <c r="M48" s="15"/>
    </row>
    <row r="49" spans="3:13" ht="14.25" hidden="1" x14ac:dyDescent="0.25">
      <c r="C49" s="15"/>
      <c r="K49" s="15"/>
      <c r="L49" s="15"/>
      <c r="M49" s="15"/>
    </row>
    <row r="50" spans="3:13" ht="14.25" hidden="1" x14ac:dyDescent="0.25">
      <c r="C50" s="15"/>
      <c r="K50" s="15"/>
      <c r="L50" s="15"/>
      <c r="M50" s="15"/>
    </row>
    <row r="51" spans="3:13" ht="14.25" hidden="1" x14ac:dyDescent="0.25">
      <c r="C51" s="15"/>
      <c r="K51" s="15"/>
      <c r="L51" s="15"/>
      <c r="M51" s="15"/>
    </row>
    <row r="52" spans="3:13" ht="14.25" hidden="1" x14ac:dyDescent="0.25">
      <c r="C52" s="15"/>
      <c r="K52" s="15"/>
      <c r="L52" s="15"/>
      <c r="M52" s="15"/>
    </row>
    <row r="53" spans="3:13" ht="14.25" hidden="1" x14ac:dyDescent="0.25">
      <c r="C53" s="15"/>
      <c r="K53" s="15"/>
      <c r="L53" s="15"/>
      <c r="M53" s="15"/>
    </row>
    <row r="54" spans="3:13" ht="14.25" hidden="1" x14ac:dyDescent="0.25">
      <c r="C54" s="15"/>
      <c r="K54" s="15"/>
      <c r="L54" s="15"/>
      <c r="M54" s="15"/>
    </row>
    <row r="55" spans="3:13" ht="14.25" hidden="1" x14ac:dyDescent="0.25">
      <c r="C55" s="15"/>
      <c r="K55" s="15"/>
      <c r="L55" s="15"/>
      <c r="M55" s="15"/>
    </row>
    <row r="56" spans="3:13" ht="14.25" hidden="1" x14ac:dyDescent="0.25">
      <c r="C56" s="15"/>
      <c r="K56" s="15"/>
      <c r="L56" s="15"/>
      <c r="M56" s="15"/>
    </row>
    <row r="57" spans="3:13" ht="14.25" hidden="1" x14ac:dyDescent="0.25">
      <c r="C57" s="15"/>
      <c r="K57" s="15"/>
      <c r="L57" s="15"/>
      <c r="M57" s="15"/>
    </row>
    <row r="58" spans="3:13" ht="14.25" hidden="1" x14ac:dyDescent="0.25">
      <c r="C58" s="15"/>
      <c r="K58" s="15"/>
      <c r="L58" s="15"/>
      <c r="M58" s="15"/>
    </row>
  </sheetData>
  <sheetProtection algorithmName="SHA-512" hashValue="7sDbLRUj7RNsgWii/v4WIr62RFrlhkroyFCl4Ni0tK3Bja+KHVLKRcSmVN6ywdPheTsooxKHn9tgVBBtQ0Tg/g==" saltValue="qMLkAla+5lsEKqqB+IHnjQ==" spinCount="100000" sheet="1" objects="1" scenarios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Expense</vt:lpstr>
    </vt:vector>
  </TitlesOfParts>
  <Company>DevExpress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Eugeniya Filippova</dc:creator>
  <cp:lastModifiedBy>Jane (DevExpress)</cp:lastModifiedBy>
  <dcterms:created xsi:type="dcterms:W3CDTF">2016-12-01T08:57:34Z</dcterms:created>
  <dcterms:modified xsi:type="dcterms:W3CDTF">2018-11-30T11:30:47Z</dcterms:modified>
</cp:coreProperties>
</file>