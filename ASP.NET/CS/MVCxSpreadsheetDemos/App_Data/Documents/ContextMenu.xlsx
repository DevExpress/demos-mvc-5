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DXVCS\2017.1\Demos.ASP\ASPxSpreadsheet\CS\App_Data\Documents\"/>
    </mc:Choice>
  </mc:AlternateContent>
  <bookViews>
    <workbookView xWindow="0" yWindow="0" windowWidth="28800" windowHeight="12435"/>
  </bookViews>
  <sheets>
    <sheet name="OrderFor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0" i="1"/>
  <c r="G10" i="1"/>
  <c r="G11" i="1"/>
  <c r="G12" i="1"/>
  <c r="H12" i="1" s="1"/>
  <c r="G13" i="1"/>
  <c r="G14" i="1"/>
  <c r="G15" i="1"/>
  <c r="G16" i="1"/>
  <c r="G17" i="1"/>
  <c r="G18" i="1"/>
  <c r="G19" i="1"/>
  <c r="H10" i="1"/>
  <c r="F10" i="1"/>
  <c r="F11" i="1"/>
  <c r="F12" i="1"/>
  <c r="F13" i="1"/>
  <c r="F14" i="1"/>
  <c r="F15" i="1"/>
  <c r="F16" i="1"/>
  <c r="F17" i="1"/>
  <c r="F18" i="1"/>
  <c r="H11" i="1" l="1"/>
  <c r="H14" i="1"/>
  <c r="G3" i="1"/>
  <c r="H13" i="1" l="1"/>
  <c r="H15" i="1" l="1"/>
  <c r="H16" i="1"/>
  <c r="H17" i="1" l="1"/>
  <c r="H18" i="1"/>
  <c r="H19" i="1" l="1"/>
</calcChain>
</file>

<file path=xl/comments1.xml><?xml version="1.0" encoding="utf-8"?>
<comments xmlns="http://schemas.openxmlformats.org/spreadsheetml/2006/main">
  <authors>
    <author>Sales Dept.</author>
  </authors>
  <commentList>
    <comment ref="G9" authorId="0" shapeId="0">
      <text>
        <r>
          <rPr>
            <b/>
            <sz val="9"/>
            <color indexed="81"/>
            <rFont val="Tahoma"/>
            <family val="2"/>
          </rPr>
          <t>Sales Dept.:</t>
        </r>
        <r>
          <rPr>
            <sz val="9"/>
            <color indexed="81"/>
            <rFont val="Tahoma"/>
            <family val="2"/>
          </rPr>
          <t xml:space="preserve">
To check how the discount is calculated, select the corresponding option in the cell context menu</t>
        </r>
      </text>
    </comment>
  </commentList>
</comments>
</file>

<file path=xl/sharedStrings.xml><?xml version="1.0" encoding="utf-8"?>
<sst xmlns="http://schemas.openxmlformats.org/spreadsheetml/2006/main" count="25" uniqueCount="24">
  <si>
    <t>Product Name</t>
  </si>
  <si>
    <t>Unit Price</t>
  </si>
  <si>
    <t>Quantity</t>
  </si>
  <si>
    <t>Cost</t>
  </si>
  <si>
    <t>Total</t>
  </si>
  <si>
    <t>Products Order Form</t>
  </si>
  <si>
    <t>Order date</t>
  </si>
  <si>
    <t>Ship to</t>
  </si>
  <si>
    <t>536 1st Ave.</t>
  </si>
  <si>
    <t>Cleveland, OH, 37288</t>
  </si>
  <si>
    <t>(203)290-8902</t>
  </si>
  <si>
    <t>Volume Discount</t>
  </si>
  <si>
    <t>Farms Carrots</t>
  </si>
  <si>
    <t>Brown Onions</t>
  </si>
  <si>
    <t>Red Onions</t>
  </si>
  <si>
    <t>Broccoli</t>
  </si>
  <si>
    <t>Green Beans</t>
  </si>
  <si>
    <t>Baby Button Mushrooms</t>
  </si>
  <si>
    <t>Chestnut Mushrooms</t>
  </si>
  <si>
    <t>Sweet Potatoes</t>
  </si>
  <si>
    <t>Spinach</t>
  </si>
  <si>
    <t>Package weight</t>
  </si>
  <si>
    <t>Tommy Dickson</t>
  </si>
  <si>
    <t>* Context menu is enabled only for non-empty gray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</si>
</sst>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;[Red]&quot;$&quot;#,##0.00;"/>
    <numFmt numFmtId="165" formatCode="&quot;$&quot;#,##0.00;[Red]&quot;$&quot;#,##0.00"/>
    <numFmt numFmtId="166" formatCode="0.00\ &quot;kg&quot;"/>
  </numFmts>
  <fonts count="12" x14ac:knownFonts="1">
    <font>
      <sz val="11"/>
      <color theme="1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Segoe UI"/>
      <family val="2"/>
    </font>
    <font>
      <b/>
      <sz val="10"/>
      <color theme="9" tint="-0.249977111117893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i/>
      <sz val="10"/>
      <color theme="1"/>
      <name val="Segoe UI"/>
      <family val="2"/>
    </font>
    <font>
      <b/>
      <sz val="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EE7BD"/>
        <bgColor indexed="64"/>
      </patternFill>
    </fill>
    <fill>
      <patternFill patternType="solid">
        <fgColor rgb="FF207347"/>
        <bgColor indexed="64"/>
      </patternFill>
    </fill>
    <fill>
      <patternFill patternType="solid">
        <fgColor rgb="FFF4F4F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/>
      <top style="thin">
        <color rgb="FFCACACA"/>
      </top>
      <bottom style="thin">
        <color rgb="FFCACACA"/>
      </bottom>
      <diagonal/>
    </border>
    <border>
      <left/>
      <right/>
      <top/>
      <bottom style="thin">
        <color rgb="FFCACACA"/>
      </bottom>
      <diagonal/>
    </border>
    <border>
      <left style="thin">
        <color rgb="FFCACACA"/>
      </left>
      <right style="thin">
        <color rgb="FFCACACA"/>
      </right>
      <top/>
      <bottom style="thin">
        <color rgb="FFCACACA"/>
      </bottom>
      <diagonal/>
    </border>
    <border>
      <left/>
      <right/>
      <top style="thin">
        <color rgb="FFCACACA"/>
      </top>
      <bottom style="thick">
        <color auto="1"/>
      </bottom>
      <diagonal/>
    </border>
    <border>
      <left style="thin">
        <color rgb="FFCACACA"/>
      </left>
      <right/>
      <top style="thin">
        <color rgb="FFCACACA"/>
      </top>
      <bottom style="thick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4" fillId="0" borderId="0" xfId="0" applyFont="1"/>
    <xf numFmtId="0" fontId="5" fillId="0" borderId="0" xfId="1" applyFont="1" applyBorder="1" applyAlignment="1">
      <alignment horizontal="center"/>
    </xf>
    <xf numFmtId="0" fontId="6" fillId="0" borderId="0" xfId="1" applyFont="1" applyBorder="1" applyAlignment="1">
      <alignment horizontal="right"/>
    </xf>
    <xf numFmtId="0" fontId="7" fillId="0" borderId="0" xfId="1" applyFont="1" applyBorder="1" applyAlignment="1">
      <alignment horizontal="center"/>
    </xf>
    <xf numFmtId="0" fontId="6" fillId="0" borderId="0" xfId="1" applyFont="1" applyBorder="1" applyAlignment="1">
      <alignment horizontal="center"/>
    </xf>
    <xf numFmtId="10" fontId="4" fillId="0" borderId="0" xfId="0" applyNumberFormat="1" applyFont="1"/>
    <xf numFmtId="0" fontId="8" fillId="0" borderId="4" xfId="0" applyFont="1" applyBorder="1"/>
    <xf numFmtId="0" fontId="8" fillId="2" borderId="3" xfId="0" applyFont="1" applyFill="1" applyBorder="1" applyProtection="1">
      <protection locked="0"/>
    </xf>
    <xf numFmtId="166" fontId="8" fillId="4" borderId="3" xfId="0" applyNumberFormat="1" applyFont="1" applyFill="1" applyBorder="1"/>
    <xf numFmtId="164" fontId="8" fillId="4" borderId="3" xfId="0" applyNumberFormat="1" applyFont="1" applyFill="1" applyBorder="1"/>
    <xf numFmtId="164" fontId="8" fillId="4" borderId="4" xfId="0" applyNumberFormat="1" applyFont="1" applyFill="1" applyBorder="1"/>
    <xf numFmtId="0" fontId="9" fillId="0" borderId="7" xfId="0" applyFont="1" applyBorder="1" applyAlignment="1">
      <alignment horizontal="left"/>
    </xf>
    <xf numFmtId="164" fontId="9" fillId="0" borderId="7" xfId="0" applyNumberFormat="1" applyFont="1" applyBorder="1" applyAlignment="1">
      <alignment horizontal="left"/>
    </xf>
    <xf numFmtId="165" fontId="9" fillId="0" borderId="8" xfId="0" applyNumberFormat="1" applyFont="1" applyBorder="1"/>
    <xf numFmtId="0" fontId="8" fillId="3" borderId="6" xfId="0" applyFont="1" applyFill="1" applyBorder="1" applyAlignment="1">
      <alignment horizontal="left" vertical="center" wrapText="1" indent="1"/>
    </xf>
    <xf numFmtId="0" fontId="8" fillId="3" borderId="5" xfId="0" applyFont="1" applyFill="1" applyBorder="1" applyAlignment="1">
      <alignment horizontal="left" vertical="center" indent="4"/>
    </xf>
    <xf numFmtId="0" fontId="8" fillId="3" borderId="6" xfId="0" applyFont="1" applyFill="1" applyBorder="1" applyAlignment="1">
      <alignment horizontal="left" vertical="center" wrapText="1" indent="2"/>
    </xf>
    <xf numFmtId="0" fontId="8" fillId="3" borderId="5" xfId="0" applyFont="1" applyFill="1" applyBorder="1" applyAlignment="1">
      <alignment horizontal="left" vertical="center" wrapText="1" indent="2"/>
    </xf>
    <xf numFmtId="0" fontId="11" fillId="0" borderId="2" xfId="1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6" fillId="0" borderId="0" xfId="1" applyNumberFormat="1" applyFont="1" applyBorder="1" applyAlignment="1">
      <alignment horizontal="left"/>
    </xf>
    <xf numFmtId="0" fontId="6" fillId="0" borderId="0" xfId="1" applyFont="1" applyFill="1" applyBorder="1" applyAlignment="1" applyProtection="1">
      <protection locked="0"/>
    </xf>
  </cellXfs>
  <cellStyles count="2">
    <cellStyle name="Heading 1" xfId="1" builtinId="16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&quot;$&quot;#,##0.00;[Red]&quot;$&quot;#,##0.00;"/>
      <border diagonalUp="0" diagonalDown="0">
        <left style="thin">
          <color theme="4" tint="0.39994506668294322"/>
        </left>
        <right/>
        <top style="thin">
          <color rgb="FFCACACA"/>
        </top>
        <bottom style="thin">
          <color rgb="FFCACACA"/>
        </bottom>
        <horizontal style="thin">
          <color rgb="FFCACAC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&quot;$&quot;#,##0.00;[Red]&quot;$&quot;#,##0.00;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theme="4" tint="0.39994506668294322"/>
        </left>
        <right/>
        <top style="thin">
          <color rgb="FFCACACA"/>
        </top>
        <bottom style="thin">
          <color rgb="FFCACACA"/>
        </bottom>
        <horizontal style="thin">
          <color rgb="FFCACAC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&quot;$&quot;#,##0.00;[Red]&quot;$&quot;#,##0.00;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theme="4" tint="0.39994506668294322"/>
        </left>
        <right/>
        <top style="thin">
          <color rgb="FFCACACA"/>
        </top>
        <bottom style="thin">
          <color rgb="FFCACACA"/>
        </bottom>
        <horizontal style="thin">
          <color rgb="FFCACAC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rgb="FFCACACA"/>
        </top>
        <bottom style="thin">
          <color rgb="FFCACACA"/>
        </bottom>
        <horizontal style="thin">
          <color rgb="FFCACAC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numFmt numFmtId="164" formatCode="&quot;$&quot;#,##0.00;[Red]&quot;$&quot;#,##0.00;"/>
      <border diagonalUp="0" diagonalDown="0">
        <left style="thin">
          <color theme="4" tint="0.39994506668294322"/>
        </left>
        <right style="thin">
          <color theme="4" tint="0.39994506668294322"/>
        </right>
        <top style="thin">
          <color rgb="FFCACACA"/>
        </top>
        <bottom style="thin">
          <color rgb="FFCACACA"/>
        </bottom>
        <horizontal style="thin">
          <color rgb="FFCACAC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border diagonalUp="0" diagonalDown="0">
        <left/>
        <right style="thin">
          <color theme="4" tint="0.39994506668294322"/>
        </right>
        <top style="thin">
          <color rgb="FFCACACA"/>
        </top>
        <bottom style="thin">
          <color rgb="FFCACACA"/>
        </bottom>
        <horizontal style="thin">
          <color rgb="FFCACACA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border diagonalUp="0" diagonalDown="0">
        <left/>
        <right style="thin">
          <color theme="4" tint="0.39994506668294322"/>
        </right>
        <top style="thin">
          <color rgb="FFCACACA"/>
        </top>
        <bottom style="thin">
          <color rgb="FFCACACA"/>
        </bottom>
        <horizontal style="thin">
          <color rgb="FFCACACA"/>
        </horizontal>
      </border>
    </dxf>
    <dxf>
      <border>
        <top style="thin">
          <color rgb="FFCACACA"/>
        </top>
      </border>
    </dxf>
    <dxf>
      <border diagonalUp="0" diagonalDown="0">
        <left style="thin">
          <color rgb="FFCACACA"/>
        </left>
        <right style="thin">
          <color rgb="FFCACACA"/>
        </right>
        <top style="thin">
          <color rgb="FFCACACA"/>
        </top>
        <bottom style="thin">
          <color rgb="FFCACAC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</dxf>
    <dxf>
      <border>
        <bottom style="thin">
          <color rgb="FFCACACA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scheme val="none"/>
      </font>
      <fill>
        <patternFill patternType="solid">
          <fgColor indexed="64"/>
          <bgColor rgb="FF207347"/>
        </patternFill>
      </fill>
      <alignment horizontal="left" vertical="center" textRotation="0" indent="0" justifyLastLine="0" shrinkToFit="0" readingOrder="0"/>
      <border diagonalUp="0" diagonalDown="0">
        <left style="thin">
          <color theme="4" tint="0.39994506668294322"/>
        </left>
        <right style="thin">
          <color theme="4" tint="0.39994506668294322"/>
        </right>
        <top/>
        <bottom/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border>
        <top style="double">
          <color theme="1"/>
        </top>
      </border>
    </dxf>
    <dxf>
      <font>
        <b val="0"/>
        <i val="0"/>
        <color theme="0"/>
      </font>
      <fill>
        <patternFill patternType="solid">
          <fgColor theme="4"/>
          <bgColor theme="4"/>
        </patternFill>
      </fill>
      <border>
        <bottom style="medium">
          <color theme="1"/>
        </bottom>
      </border>
    </dxf>
    <dxf>
      <font>
        <color theme="1"/>
      </font>
      <border>
        <top/>
        <bottom/>
      </border>
    </dxf>
  </dxfs>
  <tableStyles count="1" defaultTableStyle="TableStyleMedium2" defaultPivotStyle="PivotStyleLight16">
    <tableStyle name="TableStyleMedium16 2" pivot="0" count="7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colors>
    <mruColors>
      <color rgb="FFF4F4F4"/>
      <color rgb="FFCACACA"/>
      <color rgb="FF207347"/>
      <color rgb="FFFEE7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B9:H19" totalsRowShown="0" headerRowDxfId="11" dataDxfId="9" headerRowBorderDxfId="10" tableBorderDxfId="8" totalsRowBorderDxfId="7">
  <autoFilter ref="B9:H19"/>
  <tableColumns count="7">
    <tableColumn id="1" name="Product Name" dataDxfId="6"/>
    <tableColumn id="9" name="Package weight" dataDxfId="5"/>
    <tableColumn id="5" name="Unit Price" dataDxfId="4"/>
    <tableColumn id="6" name="Quantity" dataDxfId="3"/>
    <tableColumn id="3" name="Cost" dataDxfId="2">
      <calculatedColumnFormula>Table3[[#This Row],[Unit Price]]*Table3[[#This Row],[Quantity]]</calculatedColumnFormula>
    </tableColumn>
    <tableColumn id="2" name="Volume Discount" dataDxfId="1">
      <calculatedColumnFormula>IF(Table3[[#This Row],[Quantity]]&gt;=L10,M10*Table3[[#This Row],[Cost]],IF(Table3[[#This Row],[Quantity]]&gt;=J10,K10*Table3[[#This Row],[Cost]],0))</calculatedColumnFormula>
    </tableColumn>
    <tableColumn id="7" name="Total" dataDxfId="0"/>
  </tableColumns>
  <tableStyleInfo name="TableStyleMedium16 2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1"/>
  <sheetViews>
    <sheetView showGridLines="0" showRowColHeaders="0" tabSelected="1" zoomScaleNormal="100" workbookViewId="0">
      <selection activeCell="E11" sqref="E11"/>
    </sheetView>
  </sheetViews>
  <sheetFormatPr defaultRowHeight="16.5" x14ac:dyDescent="0.3"/>
  <cols>
    <col min="1" max="1" width="1.25" style="1" customWidth="1"/>
    <col min="2" max="2" width="25.25" style="1" customWidth="1"/>
    <col min="3" max="3" width="11.5" style="1" customWidth="1"/>
    <col min="4" max="4" width="12.75" style="1" customWidth="1"/>
    <col min="5" max="5" width="12" style="1" customWidth="1"/>
    <col min="6" max="6" width="11.25" style="1" customWidth="1"/>
    <col min="7" max="7" width="12.125" style="1" customWidth="1"/>
    <col min="8" max="8" width="11.875" style="1" customWidth="1"/>
    <col min="9" max="9" width="9" style="1"/>
    <col min="10" max="13" width="9" style="1" hidden="1" customWidth="1"/>
    <col min="14" max="14" width="0" style="1" hidden="1" customWidth="1"/>
    <col min="15" max="16384" width="9" style="1"/>
  </cols>
  <sheetData>
    <row r="1" spans="2:14" ht="22.5" customHeight="1" thickBot="1" x14ac:dyDescent="0.5">
      <c r="B1" s="19" t="s">
        <v>5</v>
      </c>
      <c r="C1" s="19"/>
      <c r="D1" s="19"/>
      <c r="E1" s="19"/>
      <c r="F1" s="19"/>
      <c r="G1" s="19"/>
      <c r="H1" s="19"/>
    </row>
    <row r="2" spans="2:14" ht="17.25" thickTop="1" x14ac:dyDescent="0.3">
      <c r="D2" s="2"/>
      <c r="E2" s="2"/>
      <c r="F2" s="2"/>
      <c r="G2" s="2"/>
      <c r="H2" s="2"/>
    </row>
    <row r="3" spans="2:14" x14ac:dyDescent="0.3">
      <c r="B3" s="3"/>
      <c r="C3" s="3"/>
      <c r="F3" s="4" t="s">
        <v>6</v>
      </c>
      <c r="G3" s="21">
        <f ca="1">TODAY()</f>
        <v>42836</v>
      </c>
      <c r="H3" s="21"/>
    </row>
    <row r="4" spans="2:14" x14ac:dyDescent="0.3">
      <c r="B4" s="3"/>
      <c r="C4" s="3"/>
      <c r="F4" s="4" t="s">
        <v>7</v>
      </c>
      <c r="G4" s="22" t="s">
        <v>22</v>
      </c>
      <c r="H4" s="22"/>
    </row>
    <row r="5" spans="2:14" x14ac:dyDescent="0.3">
      <c r="F5" s="5"/>
      <c r="G5" s="22" t="s">
        <v>8</v>
      </c>
      <c r="H5" s="22"/>
    </row>
    <row r="6" spans="2:14" x14ac:dyDescent="0.3">
      <c r="F6" s="5"/>
      <c r="G6" s="22" t="s">
        <v>9</v>
      </c>
      <c r="H6" s="22"/>
    </row>
    <row r="7" spans="2:14" x14ac:dyDescent="0.3">
      <c r="F7" s="5"/>
      <c r="G7" s="22" t="s">
        <v>10</v>
      </c>
      <c r="H7" s="22"/>
    </row>
    <row r="9" spans="2:14" ht="28.5" x14ac:dyDescent="0.3">
      <c r="B9" s="16" t="s">
        <v>0</v>
      </c>
      <c r="C9" s="15" t="s">
        <v>21</v>
      </c>
      <c r="D9" s="15" t="s">
        <v>1</v>
      </c>
      <c r="E9" s="15" t="s">
        <v>2</v>
      </c>
      <c r="F9" s="17" t="s">
        <v>3</v>
      </c>
      <c r="G9" s="15" t="s">
        <v>11</v>
      </c>
      <c r="H9" s="18" t="s">
        <v>4</v>
      </c>
    </row>
    <row r="10" spans="2:14" x14ac:dyDescent="0.3">
      <c r="B10" s="7" t="s">
        <v>15</v>
      </c>
      <c r="C10" s="9">
        <v>0.35</v>
      </c>
      <c r="D10" s="10">
        <v>0.43</v>
      </c>
      <c r="E10" s="8"/>
      <c r="F10" s="10">
        <f>Table3[[#This Row],[Unit Price]]*Table3[[#This Row],[Quantity]]</f>
        <v>0</v>
      </c>
      <c r="G10" s="10">
        <f>IF(Table3[[#This Row],[Quantity]]&gt;=L10,M10*Table3[[#This Row],[Cost]],IF(Table3[[#This Row],[Quantity]]&gt;=J10,K10*Table3[[#This Row],[Cost]],0))</f>
        <v>0</v>
      </c>
      <c r="H10" s="11">
        <f>Table3[[#This Row],[Cost]]-Table3[[#This Row],[Volume Discount]]</f>
        <v>0</v>
      </c>
      <c r="J10" s="1">
        <v>50</v>
      </c>
      <c r="K10" s="6">
        <v>0.01</v>
      </c>
      <c r="L10" s="1">
        <v>100</v>
      </c>
      <c r="M10" s="6">
        <v>0.05</v>
      </c>
      <c r="N10" s="1">
        <f>L10-1</f>
        <v>99</v>
      </c>
    </row>
    <row r="11" spans="2:14" x14ac:dyDescent="0.3">
      <c r="B11" s="7" t="s">
        <v>16</v>
      </c>
      <c r="C11" s="9">
        <v>0.22</v>
      </c>
      <c r="D11" s="10">
        <v>1</v>
      </c>
      <c r="E11" s="8">
        <v>180</v>
      </c>
      <c r="F11" s="10">
        <f>Table3[[#This Row],[Unit Price]]*Table3[[#This Row],[Quantity]]</f>
        <v>180</v>
      </c>
      <c r="G11" s="10">
        <f>IF(Table3[[#This Row],[Quantity]]&gt;=L11,M11*Table3[[#This Row],[Cost]],IF(Table3[[#This Row],[Quantity]]&gt;=J11,K11*Table3[[#This Row],[Cost]],0))</f>
        <v>9</v>
      </c>
      <c r="H11" s="11">
        <f>Table3[[#This Row],[Cost]]-Table3[[#This Row],[Volume Discount]]</f>
        <v>171</v>
      </c>
      <c r="J11" s="1">
        <v>150</v>
      </c>
      <c r="K11" s="6">
        <v>0.05</v>
      </c>
      <c r="L11" s="1">
        <v>250</v>
      </c>
      <c r="M11" s="6">
        <v>0.1</v>
      </c>
      <c r="N11" s="1">
        <f t="shared" ref="N11:N18" si="0">L11-1</f>
        <v>249</v>
      </c>
    </row>
    <row r="12" spans="2:14" x14ac:dyDescent="0.3">
      <c r="B12" s="7" t="s">
        <v>12</v>
      </c>
      <c r="C12" s="9">
        <v>1</v>
      </c>
      <c r="D12" s="10">
        <v>0.45</v>
      </c>
      <c r="E12" s="8">
        <v>320</v>
      </c>
      <c r="F12" s="10">
        <f>Table3[[#This Row],[Unit Price]]*Table3[[#This Row],[Quantity]]</f>
        <v>144</v>
      </c>
      <c r="G12" s="10">
        <f>IF(Table3[[#This Row],[Quantity]]&gt;=L12,M12*Table3[[#This Row],[Cost]],IF(Table3[[#This Row],[Quantity]]&gt;=J12,K12*Table3[[#This Row],[Cost]],0))</f>
        <v>10.080000000000002</v>
      </c>
      <c r="H12" s="11">
        <f>Table3[[#This Row],[Cost]]-Table3[[#This Row],[Volume Discount]]</f>
        <v>133.91999999999999</v>
      </c>
      <c r="J12" s="1">
        <v>80</v>
      </c>
      <c r="K12" s="6">
        <v>0.03</v>
      </c>
      <c r="L12" s="1">
        <v>150</v>
      </c>
      <c r="M12" s="6">
        <v>7.0000000000000007E-2</v>
      </c>
      <c r="N12" s="1">
        <f t="shared" si="0"/>
        <v>149</v>
      </c>
    </row>
    <row r="13" spans="2:14" x14ac:dyDescent="0.3">
      <c r="B13" s="7" t="s">
        <v>13</v>
      </c>
      <c r="C13" s="9">
        <v>0.3</v>
      </c>
      <c r="D13" s="10">
        <v>0.16</v>
      </c>
      <c r="E13" s="8"/>
      <c r="F13" s="10">
        <f>Table3[[#This Row],[Unit Price]]*Table3[[#This Row],[Quantity]]</f>
        <v>0</v>
      </c>
      <c r="G13" s="10">
        <f>IF(Table3[[#This Row],[Quantity]]&gt;=L13,M13*Table3[[#This Row],[Cost]],IF(Table3[[#This Row],[Quantity]]&gt;=J13,K13*Table3[[#This Row],[Cost]],0))</f>
        <v>0</v>
      </c>
      <c r="H13" s="11">
        <f>Table3[[#This Row],[Cost]]-Table3[[#This Row],[Volume Discount]]</f>
        <v>0</v>
      </c>
      <c r="J13" s="1">
        <v>100</v>
      </c>
      <c r="K13" s="6">
        <v>0.02</v>
      </c>
      <c r="L13" s="1">
        <v>300</v>
      </c>
      <c r="M13" s="6">
        <v>0.05</v>
      </c>
      <c r="N13" s="1">
        <f t="shared" si="0"/>
        <v>299</v>
      </c>
    </row>
    <row r="14" spans="2:14" x14ac:dyDescent="0.3">
      <c r="B14" s="7" t="s">
        <v>14</v>
      </c>
      <c r="C14" s="9">
        <v>0.3</v>
      </c>
      <c r="D14" s="10">
        <v>0.17</v>
      </c>
      <c r="E14" s="8"/>
      <c r="F14" s="10">
        <f>Table3[[#This Row],[Unit Price]]*Table3[[#This Row],[Quantity]]</f>
        <v>0</v>
      </c>
      <c r="G14" s="10">
        <f>IF(Table3[[#This Row],[Quantity]]&gt;=L14,M14*Table3[[#This Row],[Cost]],IF(Table3[[#This Row],[Quantity]]&gt;=J14,K14*Table3[[#This Row],[Cost]],0))</f>
        <v>0</v>
      </c>
      <c r="H14" s="11">
        <f>Table3[[#This Row],[Cost]]-Table3[[#This Row],[Volume Discount]]</f>
        <v>0</v>
      </c>
      <c r="J14" s="1">
        <v>100</v>
      </c>
      <c r="K14" s="6">
        <v>0.01</v>
      </c>
      <c r="L14" s="1">
        <v>300</v>
      </c>
      <c r="M14" s="6">
        <v>0.05</v>
      </c>
      <c r="N14" s="1">
        <f t="shared" si="0"/>
        <v>299</v>
      </c>
    </row>
    <row r="15" spans="2:14" x14ac:dyDescent="0.3">
      <c r="B15" s="7" t="s">
        <v>17</v>
      </c>
      <c r="C15" s="9">
        <v>0.2</v>
      </c>
      <c r="D15" s="10">
        <v>0.9</v>
      </c>
      <c r="E15" s="8">
        <v>100</v>
      </c>
      <c r="F15" s="10">
        <f>Table3[[#This Row],[Unit Price]]*Table3[[#This Row],[Quantity]]</f>
        <v>90</v>
      </c>
      <c r="G15" s="10">
        <f>IF(Table3[[#This Row],[Quantity]]&gt;=L15,M15*Table3[[#This Row],[Cost]],IF(Table3[[#This Row],[Quantity]]&gt;=J15,K15*Table3[[#This Row],[Cost]],0))</f>
        <v>0</v>
      </c>
      <c r="H15" s="11">
        <f>Table3[[#This Row],[Cost]]-Table3[[#This Row],[Volume Discount]]</f>
        <v>90</v>
      </c>
      <c r="J15" s="1">
        <v>200</v>
      </c>
      <c r="K15" s="6">
        <v>0.05</v>
      </c>
      <c r="L15" s="1">
        <v>600</v>
      </c>
      <c r="M15" s="6">
        <v>0.1</v>
      </c>
      <c r="N15" s="1">
        <f t="shared" si="0"/>
        <v>599</v>
      </c>
    </row>
    <row r="16" spans="2:14" x14ac:dyDescent="0.3">
      <c r="B16" s="7" t="s">
        <v>18</v>
      </c>
      <c r="C16" s="9">
        <v>0.25</v>
      </c>
      <c r="D16" s="10">
        <v>0.79</v>
      </c>
      <c r="E16" s="8"/>
      <c r="F16" s="10">
        <f>Table3[[#This Row],[Unit Price]]*Table3[[#This Row],[Quantity]]</f>
        <v>0</v>
      </c>
      <c r="G16" s="10">
        <f>IF(Table3[[#This Row],[Quantity]]&gt;=L16,M16*Table3[[#This Row],[Cost]],IF(Table3[[#This Row],[Quantity]]&gt;=J16,K16*Table3[[#This Row],[Cost]],0))</f>
        <v>0</v>
      </c>
      <c r="H16" s="11">
        <f>Table3[[#This Row],[Cost]]-Table3[[#This Row],[Volume Discount]]</f>
        <v>0</v>
      </c>
      <c r="J16" s="1">
        <v>50</v>
      </c>
      <c r="K16" s="6">
        <v>0.03</v>
      </c>
      <c r="L16" s="1">
        <v>150</v>
      </c>
      <c r="M16" s="6">
        <v>7.0000000000000007E-2</v>
      </c>
      <c r="N16" s="1">
        <f t="shared" si="0"/>
        <v>149</v>
      </c>
    </row>
    <row r="17" spans="2:14" x14ac:dyDescent="0.3">
      <c r="B17" s="7" t="s">
        <v>19</v>
      </c>
      <c r="C17" s="9">
        <v>2</v>
      </c>
      <c r="D17" s="10">
        <v>2</v>
      </c>
      <c r="E17" s="8"/>
      <c r="F17" s="10">
        <f>Table3[[#This Row],[Unit Price]]*Table3[[#This Row],[Quantity]]</f>
        <v>0</v>
      </c>
      <c r="G17" s="10">
        <f>IF(Table3[[#This Row],[Quantity]]&gt;=L17,M17*Table3[[#This Row],[Cost]],IF(Table3[[#This Row],[Quantity]]&gt;=J17,K17*Table3[[#This Row],[Cost]],0))</f>
        <v>0</v>
      </c>
      <c r="H17" s="11">
        <f>Table3[[#This Row],[Cost]]-Table3[[#This Row],[Volume Discount]]</f>
        <v>0</v>
      </c>
      <c r="J17" s="1">
        <v>200</v>
      </c>
      <c r="K17" s="6">
        <v>7.0000000000000007E-2</v>
      </c>
      <c r="L17" s="1">
        <v>500</v>
      </c>
      <c r="M17" s="6">
        <v>0.15</v>
      </c>
      <c r="N17" s="1">
        <f t="shared" si="0"/>
        <v>499</v>
      </c>
    </row>
    <row r="18" spans="2:14" x14ac:dyDescent="0.3">
      <c r="B18" s="7" t="s">
        <v>20</v>
      </c>
      <c r="C18" s="9">
        <v>0.2</v>
      </c>
      <c r="D18" s="10">
        <v>1</v>
      </c>
      <c r="E18" s="8"/>
      <c r="F18" s="10">
        <f>Table3[[#This Row],[Unit Price]]*Table3[[#This Row],[Quantity]]</f>
        <v>0</v>
      </c>
      <c r="G18" s="10">
        <f>IF(Table3[[#This Row],[Quantity]]&gt;=L18,M18*Table3[[#This Row],[Cost]],IF(Table3[[#This Row],[Quantity]]&gt;=J18,K18*Table3[[#This Row],[Cost]],0))</f>
        <v>0</v>
      </c>
      <c r="H18" s="11">
        <f>Table3[[#This Row],[Cost]]-Table3[[#This Row],[Volume Discount]]</f>
        <v>0</v>
      </c>
      <c r="J18" s="1">
        <v>100</v>
      </c>
      <c r="K18" s="6">
        <v>0.1</v>
      </c>
      <c r="L18" s="1">
        <v>300</v>
      </c>
      <c r="M18" s="6">
        <v>0.15</v>
      </c>
      <c r="N18" s="1">
        <f t="shared" si="0"/>
        <v>299</v>
      </c>
    </row>
    <row r="19" spans="2:14" ht="17.25" thickBot="1" x14ac:dyDescent="0.35">
      <c r="B19" s="12" t="s">
        <v>4</v>
      </c>
      <c r="C19" s="12"/>
      <c r="D19" s="12"/>
      <c r="E19" s="12"/>
      <c r="F19" s="13"/>
      <c r="G19" s="13">
        <f>IF(Table3[[#This Row],[Quantity]]&gt;=L19,M19*Table3[[#This Row],[Cost]],IF(Table3[[#This Row],[Quantity]]&gt;=J19,K19*Table3[[#This Row],[Cost]],0))</f>
        <v>0</v>
      </c>
      <c r="H19" s="14">
        <f>SUM(H10:H18)</f>
        <v>394.91999999999996</v>
      </c>
    </row>
    <row r="20" spans="2:14" ht="17.25" thickTop="1" x14ac:dyDescent="0.3"/>
    <row r="21" spans="2:14" x14ac:dyDescent="0.3">
      <c r="B21" s="20" t="s">
        <v>23</v>
      </c>
      <c r="C21" s="20"/>
      <c r="D21" s="20"/>
      <c r="E21" s="20"/>
      <c r="F21" s="20"/>
      <c r="G21" s="20"/>
      <c r="H21" s="20"/>
    </row>
  </sheetData>
  <sheetProtection sheet="1" objects="1" scenarios="1" autoFilter="0"/>
  <mergeCells count="7">
    <mergeCell ref="B1:H1"/>
    <mergeCell ref="B21:H21"/>
    <mergeCell ref="G3:H3"/>
    <mergeCell ref="G4:H4"/>
    <mergeCell ref="G5:H5"/>
    <mergeCell ref="G6:H6"/>
    <mergeCell ref="G7:H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OrderForm</vt:lpstr>
    </vt:vector>
  </TitlesOfParts>
  <Company>DevExpress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Eugeniya Filippova</dc:creator>
  <cp:lastModifiedBy>Mark M.</cp:lastModifiedBy>
  <dcterms:created xsi:type="dcterms:W3CDTF">2017-03-24T13:15:28Z</dcterms:created>
  <dcterms:modified xsi:type="dcterms:W3CDTF">2017-04-11T13:50:55Z</dcterms:modified>
</cp:coreProperties>
</file>