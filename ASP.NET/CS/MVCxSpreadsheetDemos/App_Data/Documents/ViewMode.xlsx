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2018.1\ASP.Demos\ASPxSpreadsheet\CS\App_Data\Documents\"/>
    </mc:Choice>
  </mc:AlternateContent>
  <bookViews>
    <workbookView xWindow="0" yWindow="0" windowWidth="21600" windowHeight="9210" tabRatio="756"/>
  </bookViews>
  <sheets>
    <sheet name="Actual Expenses" sheetId="3" r:id="rId1"/>
  </sheets>
  <calcPr calcId="152511"/>
</workbook>
</file>

<file path=xl/calcChain.xml><?xml version="1.0" encoding="utf-8"?>
<calcChain xmlns="http://schemas.openxmlformats.org/spreadsheetml/2006/main">
  <c r="I7" i="3" l="1"/>
  <c r="J7" i="3"/>
  <c r="K7" i="3"/>
  <c r="L7" i="3"/>
  <c r="M7" i="3"/>
  <c r="N7" i="3"/>
  <c r="D19" i="3"/>
  <c r="E19" i="3"/>
  <c r="F19" i="3"/>
  <c r="G19" i="3"/>
  <c r="H19" i="3"/>
  <c r="I19" i="3"/>
  <c r="J19" i="3"/>
  <c r="K19" i="3"/>
  <c r="L19" i="3"/>
  <c r="M19" i="3"/>
  <c r="N19" i="3"/>
  <c r="D28" i="3"/>
  <c r="E28" i="3"/>
  <c r="F28" i="3"/>
  <c r="G28" i="3"/>
  <c r="H28" i="3"/>
  <c r="I28" i="3"/>
  <c r="J28" i="3"/>
  <c r="K28" i="3"/>
  <c r="L28" i="3"/>
  <c r="M28" i="3"/>
  <c r="N28" i="3"/>
  <c r="D33" i="3"/>
  <c r="E33" i="3"/>
  <c r="F33" i="3"/>
  <c r="G33" i="3"/>
  <c r="H33" i="3"/>
  <c r="I33" i="3"/>
  <c r="J33" i="3"/>
  <c r="K33" i="3"/>
  <c r="L33" i="3"/>
  <c r="M33" i="3"/>
  <c r="N33" i="3"/>
  <c r="C33" i="3"/>
  <c r="C28" i="3"/>
  <c r="C19" i="3"/>
  <c r="O32" i="3" l="1"/>
  <c r="O31" i="3"/>
  <c r="O27" i="3"/>
  <c r="O26" i="3"/>
  <c r="O25" i="3"/>
  <c r="O24" i="3"/>
  <c r="O23" i="3"/>
  <c r="O22" i="3"/>
  <c r="O18" i="3"/>
  <c r="O17" i="3"/>
  <c r="O16" i="3"/>
  <c r="O15" i="3"/>
  <c r="O14" i="3"/>
  <c r="O13" i="3"/>
  <c r="O12" i="3"/>
  <c r="O11" i="3"/>
  <c r="N8" i="3"/>
  <c r="N36" i="3" s="1"/>
  <c r="M8" i="3"/>
  <c r="M36" i="3" s="1"/>
  <c r="L8" i="3"/>
  <c r="L36" i="3" s="1"/>
  <c r="K8" i="3"/>
  <c r="K36" i="3" s="1"/>
  <c r="J8" i="3"/>
  <c r="J36" i="3" s="1"/>
  <c r="I8" i="3"/>
  <c r="I36" i="3" s="1"/>
  <c r="H7" i="3"/>
  <c r="H8" i="3" s="1"/>
  <c r="H36" i="3" s="1"/>
  <c r="G7" i="3"/>
  <c r="G8" i="3" s="1"/>
  <c r="G36" i="3" s="1"/>
  <c r="F7" i="3"/>
  <c r="F8" i="3" s="1"/>
  <c r="F36" i="3" s="1"/>
  <c r="E7" i="3"/>
  <c r="E8" i="3" s="1"/>
  <c r="E36" i="3" s="1"/>
  <c r="D7" i="3"/>
  <c r="D8" i="3" s="1"/>
  <c r="D36" i="3" s="1"/>
  <c r="C7" i="3"/>
  <c r="C8" i="3" s="1"/>
  <c r="C36" i="3" s="1"/>
  <c r="O6" i="3"/>
  <c r="O33" i="3" l="1"/>
  <c r="O28" i="3"/>
  <c r="O19" i="3"/>
  <c r="O7" i="3"/>
  <c r="O8" i="3" s="1"/>
  <c r="O36" i="3" l="1"/>
  <c r="G37" i="3"/>
  <c r="M37" i="3"/>
  <c r="J37" i="3"/>
  <c r="F37" i="3"/>
  <c r="H37" i="3"/>
  <c r="N37" i="3"/>
  <c r="I37" i="3"/>
  <c r="C37" i="3"/>
  <c r="D37" i="3"/>
  <c r="E37" i="3"/>
  <c r="K37" i="3"/>
  <c r="L37" i="3"/>
</calcChain>
</file>

<file path=xl/sharedStrings.xml><?xml version="1.0" encoding="utf-8"?>
<sst xmlns="http://schemas.openxmlformats.org/spreadsheetml/2006/main" count="97" uniqueCount="54">
  <si>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</si>
  <si>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</si>
  <si>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</si>
  <si>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</si>
  <si>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</si>
  <si>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</si>
  <si>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</si>
  <si>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</si>
  <si>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</si>
  <si>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</si>
  <si>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</si>
  <si>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</si>
  <si>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</si>
  <si>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Employee Costs</t>
  </si>
  <si>
    <t>Wages</t>
  </si>
  <si>
    <t>Benefits</t>
  </si>
  <si>
    <t>Subtotal</t>
  </si>
  <si>
    <t>Office Costs</t>
  </si>
  <si>
    <t>Office lease</t>
  </si>
  <si>
    <t>Gas</t>
  </si>
  <si>
    <t>Electric</t>
  </si>
  <si>
    <t>Water</t>
  </si>
  <si>
    <t>Telephone</t>
  </si>
  <si>
    <t>Internet access</t>
  </si>
  <si>
    <t>Office supplies</t>
  </si>
  <si>
    <t>Security</t>
  </si>
  <si>
    <t>Marketing Costs</t>
  </si>
  <si>
    <t>Web site hosting</t>
  </si>
  <si>
    <t>Web site updates</t>
  </si>
  <si>
    <t>Collateral preparation</t>
  </si>
  <si>
    <t>Collateral printing</t>
  </si>
  <si>
    <t>Marketing events</t>
  </si>
  <si>
    <t>Miscellaneous expenses</t>
  </si>
  <si>
    <t>Training/Travel</t>
  </si>
  <si>
    <t>Training classes</t>
  </si>
  <si>
    <t>Training-related travel costs</t>
  </si>
  <si>
    <t>TOTAL Planned Expenses</t>
  </si>
  <si>
    <t>Monthly Actual Expenses</t>
  </si>
  <si>
    <t>TOTAL Actual Expenses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</si>
  <si>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</si>
  <si>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</si>
  <si>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</si>
  <si>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</si>
  <si>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</si>
  <si>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</si>
  <si>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</si>
  <si>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</si>
  <si>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</si>
  <si>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</si>
  <si>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</si>
  <si>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</si>
  <si>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</si>
  <si>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ACTUAL EXPENSES</t>
  </si>
  <si>
    <t>Detailed Expenses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</si>
</sst>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_(&quot;$&quot;* #,##0_);_(&quot;$&quot;* \(#,##0\);_(&quot;$&quot;* &quot;-&quot;??_);_(@_)"/>
  </numFmts>
  <fonts count="20">
    <font>
      <sz val="9"/>
      <color theme="1" tint="0.24994659260841701"/>
      <name val="Microsoft Sans Serif"/>
      <family val="2"/>
      <scheme val="minor"/>
    </font>
    <font>
      <b/>
      <sz val="22"/>
      <color theme="1" tint="0.24994659260841701"/>
      <name val="Franklin Gothic Book"/>
      <family val="2"/>
      <scheme val="major"/>
    </font>
    <font>
      <sz val="11"/>
      <color theme="1" tint="0.24994659260841701"/>
      <name val="Franklin Gothic Book"/>
      <family val="2"/>
      <scheme val="major"/>
    </font>
    <font>
      <b/>
      <sz val="10"/>
      <color theme="2"/>
      <name val="Franklin Gothic Book"/>
      <family val="2"/>
      <scheme val="major"/>
    </font>
    <font>
      <i/>
      <sz val="11"/>
      <color theme="3" tint="0.79998168889431442"/>
      <name val="Microsoft Sans Serif"/>
      <family val="2"/>
      <scheme val="minor"/>
    </font>
    <font>
      <b/>
      <sz val="16"/>
      <color theme="0"/>
      <name val="Franklin Gothic Book"/>
      <family val="2"/>
      <scheme val="maj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9"/>
      <color theme="1" tint="0.24994659260841701"/>
      <name val="Segoe UI"/>
      <family val="2"/>
    </font>
    <font>
      <sz val="14"/>
      <color theme="3"/>
      <name val="Segoe UI"/>
      <family val="2"/>
    </font>
    <font>
      <b/>
      <sz val="13"/>
      <color theme="3"/>
      <name val="Segoe UI"/>
      <family val="2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0"/>
      <color theme="1"/>
      <name val="Segoe UI"/>
      <family val="2"/>
    </font>
    <font>
      <b/>
      <i/>
      <sz val="10"/>
      <color theme="1"/>
      <name val="Segoe UI"/>
      <family val="2"/>
    </font>
    <font>
      <b/>
      <sz val="14"/>
      <color theme="2"/>
      <name val="Segoe UI"/>
      <family val="2"/>
    </font>
    <font>
      <b/>
      <sz val="9"/>
      <color theme="1"/>
      <name val="Segoe UI"/>
      <family val="2"/>
    </font>
    <font>
      <sz val="10"/>
      <color theme="1" tint="0.24994659260841701"/>
      <name val="Segoe UI"/>
      <family val="2"/>
    </font>
    <font>
      <sz val="14"/>
      <color theme="1" tint="0.24994659260841701"/>
      <name val="Segoe UI"/>
      <family val="2"/>
    </font>
    <font>
      <b/>
      <sz val="18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/>
        <bgColor theme="3"/>
      </patternFill>
    </fill>
    <fill>
      <patternFill patternType="solid">
        <fgColor theme="2"/>
        <bgColor indexed="64"/>
      </patternFill>
    </fill>
    <fill>
      <patternFill patternType="solid">
        <fgColor rgb="FF008080"/>
        <bgColor indexed="64"/>
      </patternFill>
    </fill>
  </fills>
  <borders count="16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medium">
        <color theme="0" tint="-0.14996795556505021"/>
      </bottom>
      <diagonal/>
    </border>
    <border>
      <left style="thin">
        <color theme="0" tint="-0.14996795556505021"/>
      </left>
      <right/>
      <top style="medium">
        <color theme="0" tint="-0.14996795556505021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thin">
        <color theme="0" tint="-0.14996795556505021"/>
      </right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14996795556505021"/>
      </left>
      <right/>
      <top style="medium">
        <color theme="0" tint="-0.14993743705557422"/>
      </top>
      <bottom style="thin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thin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thin">
        <color theme="0" tint="-0.14996795556505021"/>
      </bottom>
      <diagonal/>
    </border>
    <border>
      <left style="medium">
        <color theme="0" tint="-0.14993743705557422"/>
      </left>
      <right style="thin">
        <color theme="0" tint="-0.14996795556505021"/>
      </right>
      <top style="medium">
        <color theme="0" tint="-0.14993743705557422"/>
      </top>
      <bottom style="thin">
        <color theme="0" tint="-0.14996795556505021"/>
      </bottom>
      <diagonal/>
    </border>
  </borders>
  <cellStyleXfs count="6">
    <xf numFmtId="0" fontId="0" fillId="5" borderId="0"/>
    <xf numFmtId="0" fontId="1" fillId="0" borderId="0" applyNumberFormat="0" applyFill="0" applyProtection="0">
      <alignment vertical="center"/>
    </xf>
    <xf numFmtId="0" fontId="5" fillId="4" borderId="0" applyNumberFormat="0" applyProtection="0">
      <alignment vertical="center"/>
    </xf>
    <xf numFmtId="0" fontId="3" fillId="2" borderId="0" applyNumberFormat="0" applyProtection="0">
      <alignment vertical="center"/>
    </xf>
    <xf numFmtId="0" fontId="2" fillId="3" borderId="1" applyNumberFormat="0" applyProtection="0">
      <alignment horizontal="left" vertical="center" indent="1"/>
    </xf>
    <xf numFmtId="0" fontId="4" fillId="0" borderId="0" applyNumberFormat="0" applyFill="0" applyBorder="0" applyAlignment="0" applyProtection="0"/>
  </cellStyleXfs>
  <cellXfs count="51">
    <xf numFmtId="0" fontId="0" fillId="5" borderId="0" xfId="0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7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3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Alignment="1"/>
    <xf numFmtId="8" fontId="16" fillId="7" borderId="2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/>
    <xf numFmtId="0" fontId="6" fillId="0" borderId="0" xfId="0" applyNumberFormat="1" applyFont="1" applyFill="1" applyAlignment="1">
      <alignment horizontal="left" vertical="top" indent="1"/>
    </xf>
    <xf numFmtId="0" fontId="8" fillId="5" borderId="0" xfId="4" applyNumberFormat="1" applyFont="1" applyFill="1" applyBorder="1" applyAlignment="1">
      <alignment horizontal="left" vertical="center" indent="1"/>
    </xf>
    <xf numFmtId="164" fontId="8" fillId="5" borderId="0" xfId="4" applyNumberFormat="1" applyFont="1" applyFill="1" applyBorder="1" applyAlignment="1">
      <alignment horizontal="left" vertical="center" indent="1"/>
    </xf>
    <xf numFmtId="8" fontId="17" fillId="5" borderId="0" xfId="0" applyNumberFormat="1" applyFont="1" applyFill="1" applyBorder="1" applyAlignment="1">
      <alignment horizontal="right" vertical="center"/>
    </xf>
    <xf numFmtId="8" fontId="17" fillId="5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left" vertical="center" indent="1"/>
    </xf>
    <xf numFmtId="8" fontId="16" fillId="7" borderId="3" xfId="0" applyNumberFormat="1" applyFont="1" applyFill="1" applyBorder="1" applyAlignment="1">
      <alignment vertical="center"/>
    </xf>
    <xf numFmtId="0" fontId="19" fillId="6" borderId="4" xfId="0" applyNumberFormat="1" applyFont="1" applyFill="1" applyBorder="1" applyAlignment="1">
      <alignment horizontal="left" vertical="center" indent="1"/>
    </xf>
    <xf numFmtId="0" fontId="12" fillId="6" borderId="5" xfId="0" applyNumberFormat="1" applyFont="1" applyFill="1" applyBorder="1" applyAlignment="1">
      <alignment horizontal="left" vertical="center" indent="1"/>
    </xf>
    <xf numFmtId="0" fontId="12" fillId="6" borderId="6" xfId="0" applyNumberFormat="1" applyFont="1" applyFill="1" applyBorder="1" applyAlignment="1">
      <alignment horizontal="left" vertical="center" indent="1"/>
    </xf>
    <xf numFmtId="0" fontId="8" fillId="7" borderId="7" xfId="0" applyFont="1" applyFill="1" applyBorder="1"/>
    <xf numFmtId="0" fontId="8" fillId="7" borderId="0" xfId="0" applyFont="1" applyFill="1" applyBorder="1"/>
    <xf numFmtId="0" fontId="8" fillId="7" borderId="8" xfId="0" applyFont="1" applyFill="1" applyBorder="1"/>
    <xf numFmtId="0" fontId="10" fillId="0" borderId="7" xfId="3" applyNumberFormat="1" applyFont="1" applyFill="1" applyBorder="1" applyAlignment="1">
      <alignment horizontal="left" vertical="center" indent="1"/>
    </xf>
    <xf numFmtId="0" fontId="10" fillId="0" borderId="0" xfId="3" applyNumberFormat="1" applyFont="1" applyFill="1" applyBorder="1" applyAlignment="1">
      <alignment horizontal="center" vertical="center"/>
    </xf>
    <xf numFmtId="164" fontId="10" fillId="0" borderId="0" xfId="3" applyNumberFormat="1" applyFont="1" applyFill="1" applyBorder="1" applyAlignment="1">
      <alignment horizontal="center" vertical="center"/>
    </xf>
    <xf numFmtId="0" fontId="10" fillId="0" borderId="8" xfId="3" applyNumberFormat="1" applyFont="1" applyFill="1" applyBorder="1" applyAlignment="1">
      <alignment horizontal="center" vertical="center"/>
    </xf>
    <xf numFmtId="0" fontId="18" fillId="8" borderId="7" xfId="4" applyNumberFormat="1" applyFont="1" applyFill="1" applyBorder="1" applyAlignment="1">
      <alignment horizontal="left" vertical="center" indent="1"/>
    </xf>
    <xf numFmtId="0" fontId="8" fillId="5" borderId="8" xfId="4" applyNumberFormat="1" applyFont="1" applyFill="1" applyBorder="1" applyAlignment="1">
      <alignment horizontal="left" vertical="center" indent="1"/>
    </xf>
    <xf numFmtId="0" fontId="17" fillId="5" borderId="7" xfId="0" applyNumberFormat="1" applyFont="1" applyFill="1" applyBorder="1" applyAlignment="1">
      <alignment horizontal="left" vertical="center" indent="1"/>
    </xf>
    <xf numFmtId="8" fontId="17" fillId="5" borderId="8" xfId="0" applyNumberFormat="1" applyFont="1" applyFill="1" applyBorder="1" applyAlignment="1">
      <alignment horizontal="right" vertical="center"/>
    </xf>
    <xf numFmtId="0" fontId="17" fillId="5" borderId="7" xfId="0" applyFont="1" applyFill="1" applyBorder="1" applyAlignment="1">
      <alignment horizontal="left" vertical="center" indent="1"/>
    </xf>
    <xf numFmtId="8" fontId="17" fillId="5" borderId="8" xfId="0" applyNumberFormat="1" applyFont="1" applyFill="1" applyBorder="1" applyAlignment="1">
      <alignment vertical="center"/>
    </xf>
    <xf numFmtId="0" fontId="13" fillId="0" borderId="7" xfId="0" applyNumberFormat="1" applyFont="1" applyFill="1" applyBorder="1" applyAlignment="1">
      <alignment horizontal="center"/>
    </xf>
    <xf numFmtId="37" fontId="11" fillId="0" borderId="0" xfId="0" applyNumberFormat="1" applyFont="1" applyFill="1" applyBorder="1" applyAlignment="1">
      <alignment horizontal="right"/>
    </xf>
    <xf numFmtId="37" fontId="13" fillId="0" borderId="8" xfId="0" applyNumberFormat="1" applyFont="1" applyFill="1" applyBorder="1" applyAlignment="1">
      <alignment horizontal="right"/>
    </xf>
    <xf numFmtId="0" fontId="11" fillId="0" borderId="7" xfId="0" applyNumberFormat="1" applyFont="1" applyFill="1" applyBorder="1" applyAlignment="1">
      <alignment horizontal="center"/>
    </xf>
    <xf numFmtId="37" fontId="14" fillId="0" borderId="0" xfId="0" applyNumberFormat="1" applyFont="1" applyFill="1" applyBorder="1" applyAlignment="1">
      <alignment horizontal="right"/>
    </xf>
    <xf numFmtId="37" fontId="13" fillId="0" borderId="0" xfId="0" applyNumberFormat="1" applyFont="1" applyFill="1" applyBorder="1" applyAlignment="1">
      <alignment horizontal="right"/>
    </xf>
    <xf numFmtId="0" fontId="15" fillId="8" borderId="9" xfId="3" applyNumberFormat="1" applyFont="1" applyFill="1" applyBorder="1" applyAlignment="1">
      <alignment horizontal="left" vertical="center" indent="1"/>
    </xf>
    <xf numFmtId="0" fontId="15" fillId="8" borderId="0" xfId="3" applyNumberFormat="1" applyFont="1" applyFill="1" applyBorder="1" applyAlignment="1">
      <alignment vertical="center"/>
    </xf>
    <xf numFmtId="164" fontId="15" fillId="8" borderId="0" xfId="3" applyNumberFormat="1" applyFont="1" applyFill="1" applyBorder="1" applyAlignment="1">
      <alignment horizontal="right" vertical="center"/>
    </xf>
    <xf numFmtId="0" fontId="15" fillId="8" borderId="8" xfId="3" applyNumberFormat="1" applyFont="1" applyFill="1" applyBorder="1" applyAlignment="1">
      <alignment vertical="center"/>
    </xf>
    <xf numFmtId="0" fontId="12" fillId="4" borderId="10" xfId="0" applyNumberFormat="1" applyFont="1" applyFill="1" applyBorder="1" applyAlignment="1">
      <alignment horizontal="left" vertical="center" indent="1"/>
    </xf>
    <xf numFmtId="8" fontId="16" fillId="7" borderId="11" xfId="0" applyNumberFormat="1" applyFont="1" applyFill="1" applyBorder="1" applyAlignment="1">
      <alignment vertical="center"/>
    </xf>
    <xf numFmtId="0" fontId="12" fillId="4" borderId="12" xfId="0" applyNumberFormat="1" applyFont="1" applyFill="1" applyBorder="1" applyAlignment="1">
      <alignment horizontal="left" vertical="center" indent="1"/>
    </xf>
    <xf numFmtId="8" fontId="16" fillId="7" borderId="13" xfId="0" applyNumberFormat="1" applyFont="1" applyFill="1" applyBorder="1" applyAlignment="1">
      <alignment vertical="center"/>
    </xf>
    <xf numFmtId="8" fontId="16" fillId="7" borderId="14" xfId="0" applyNumberFormat="1" applyFont="1" applyFill="1" applyBorder="1" applyAlignment="1">
      <alignment vertical="center"/>
    </xf>
    <xf numFmtId="8" fontId="16" fillId="7" borderId="15" xfId="0" applyNumberFormat="1" applyFont="1" applyFill="1" applyBorder="1" applyAlignment="1">
      <alignment vertical="center"/>
    </xf>
  </cellXfs>
  <cellStyles count="6">
    <cellStyle name="Explanatory Text" xfId="5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Normal" xfId="0" builtinId="0" customBuiltin="1"/>
  </cellStyles>
  <dxfs count="131"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strike val="0"/>
        <outline val="0"/>
        <shadow val="0"/>
        <vertAlign val="baseline"/>
        <name val="Segoe UI"/>
        <scheme val="none"/>
      </font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medium">
          <color theme="0" tint="-0.14996795556505021"/>
        </horizontal>
      </border>
    </dxf>
    <dxf>
      <font>
        <color theme="1"/>
      </font>
      <fill>
        <patternFill patternType="solid">
          <fgColor theme="0" tint="-0.14993743705557422"/>
          <bgColor theme="0"/>
        </patternFill>
      </fill>
      <border diagonalUp="0" diagonalDown="0">
        <left/>
        <right/>
        <top/>
        <bottom/>
        <vertical/>
        <horizontal style="medium">
          <color theme="0" tint="-0.14996795556505021"/>
        </horizontal>
      </border>
    </dxf>
    <dxf>
      <font>
        <b val="0"/>
        <i val="0"/>
        <color auto="1"/>
      </font>
      <fill>
        <patternFill>
          <bgColor theme="2"/>
        </patternFill>
      </fill>
      <border diagonalUp="0" diagonalDown="0">
        <left style="medium">
          <color theme="0" tint="-0.14996795556505021"/>
        </left>
        <right/>
        <top/>
        <bottom/>
        <vertical/>
        <horizontal style="medium">
          <color theme="0" tint="-0.14996795556505021"/>
        </horizontal>
      </border>
    </dxf>
    <dxf>
      <font>
        <b/>
        <i val="0"/>
        <color theme="0"/>
      </font>
      <fill>
        <patternFill>
          <fgColor theme="3"/>
          <bgColor theme="3"/>
        </patternFill>
      </fill>
      <border diagonalUp="0" diagonalDown="0">
        <left/>
        <right/>
        <top/>
        <bottom/>
        <vertical/>
        <horizontal style="medium">
          <color theme="0" tint="-0.14996795556505021"/>
        </horizontal>
      </border>
    </dxf>
    <dxf>
      <font>
        <b/>
        <i val="0"/>
        <color theme="1"/>
      </font>
      <fill>
        <patternFill>
          <bgColor theme="2"/>
        </patternFill>
      </fill>
      <border diagonalUp="0" diagonalDown="0">
        <left/>
        <right/>
        <top style="medium">
          <color theme="0" tint="-0.14996795556505021"/>
        </top>
        <bottom style="medium">
          <color theme="0" tint="-0.14996795556505021"/>
        </bottom>
        <vertical style="medium">
          <color theme="0" tint="-0.14996795556505021"/>
        </vertical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 style="medium">
          <color theme="0" tint="-0.14996795556505021"/>
        </bottom>
        <vertical/>
        <horizontal/>
      </border>
    </dxf>
    <dxf>
      <font>
        <b val="0"/>
        <i val="0"/>
        <color theme="1"/>
      </font>
      <fill>
        <patternFill>
          <bgColor theme="0"/>
        </patternFill>
      </fill>
      <border diagonalUp="0" diagonalDown="0">
        <left style="medium">
          <color theme="0" tint="-0.14996795556505021"/>
        </left>
        <right style="medium">
          <color theme="0" tint="-0.14996795556505021"/>
        </right>
        <top style="medium">
          <color theme="0" tint="-0.14996795556505021"/>
        </top>
        <bottom style="medium">
          <color theme="0" tint="-0.14996795556505021"/>
        </bottom>
        <vertical style="medium">
          <color theme="0" tint="-0.14996795556505021"/>
        </vertical>
        <horizontal style="medium">
          <color theme="0" tint="-0.14996795556505021"/>
        </horizontal>
      </border>
    </dxf>
  </dxfs>
  <tableStyles count="1" defaultTableStyle="Detailed expense estimates Table 2" defaultPivotStyle="PivotStyleLight16">
    <tableStyle name="Detailed expense estimates Table 2" pivot="0" count="7">
      <tableStyleElement type="wholeTable" dxfId="130"/>
      <tableStyleElement type="headerRow" dxfId="129"/>
      <tableStyleElement type="totalRow" dxfId="128"/>
      <tableStyleElement type="firstColumn" dxfId="127"/>
      <tableStyleElement type="lastColumn" dxfId="126"/>
      <tableStyleElement type="firstRowStripe" size="9" dxfId="125"/>
      <tableStyleElement type="firstColumnStripe" dxfId="124"/>
    </tableStyle>
  </tableStyles>
  <colors>
    <mruColors>
      <color rgb="FF008080"/>
      <color rgb="FFB2B2B2"/>
      <color rgb="FF9DDFBE"/>
      <color rgb="FF800080"/>
      <color rgb="FFCCECFF"/>
      <color rgb="FF99CCFF"/>
      <color rgb="FF3B893D"/>
      <color rgb="FFFFCC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8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8080"/>
              </a:solidFill>
              <a:ln w="9525">
                <a:solidFill>
                  <a:srgbClr val="008080"/>
                </a:solidFill>
              </a:ln>
              <a:effectLst/>
            </c:spPr>
          </c:marker>
          <c:cat>
            <c:strRef>
              <c:f>'Actual Expenses'!$C$4:$N$4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'Actual Expenses'!$C$36:$N$36</c:f>
              <c:numCache>
                <c:formatCode>"$"#,##0.00_);[Red]\("$"#,##0.00\)</c:formatCode>
                <c:ptCount val="12"/>
                <c:pt idx="0">
                  <c:v>129682</c:v>
                </c:pt>
                <c:pt idx="1">
                  <c:v>127804</c:v>
                </c:pt>
                <c:pt idx="2">
                  <c:v>125565</c:v>
                </c:pt>
                <c:pt idx="3">
                  <c:v>137394</c:v>
                </c:pt>
                <c:pt idx="4">
                  <c:v>128255</c:v>
                </c:pt>
                <c:pt idx="5">
                  <c:v>134239</c:v>
                </c:pt>
                <c:pt idx="6">
                  <c:v>122526</c:v>
                </c:pt>
                <c:pt idx="7">
                  <c:v>131561</c:v>
                </c:pt>
                <c:pt idx="8">
                  <c:v>134750</c:v>
                </c:pt>
                <c:pt idx="9">
                  <c:v>127140</c:v>
                </c:pt>
                <c:pt idx="10">
                  <c:v>118490</c:v>
                </c:pt>
                <c:pt idx="11">
                  <c:v>121966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532000"/>
        <c:axId val="532896360"/>
      </c:lineChart>
      <c:catAx>
        <c:axId val="47853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2896360"/>
        <c:crosses val="autoZero"/>
        <c:auto val="1"/>
        <c:lblAlgn val="ctr"/>
        <c:lblOffset val="100"/>
        <c:noMultiLvlLbl val="0"/>
      </c:catAx>
      <c:valAx>
        <c:axId val="532896360"/>
        <c:scaling>
          <c:orientation val="minMax"/>
          <c:max val="138000"/>
          <c:min val="117000"/>
        </c:scaling>
        <c:delete val="1"/>
        <c:axPos val="l"/>
        <c:numFmt formatCode="&quot;$&quot;#,##0.00_);[Red]\(&quot;$&quot;#,##0.00\)" sourceLinked="1"/>
        <c:majorTickMark val="out"/>
        <c:minorTickMark val="none"/>
        <c:tickLblPos val="nextTo"/>
        <c:crossAx val="478532000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19051</xdr:rowOff>
    </xdr:from>
    <xdr:to>
      <xdr:col>14</xdr:col>
      <xdr:colOff>57150</xdr:colOff>
      <xdr:row>2</xdr:row>
      <xdr:rowOff>952501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blOffActual" displayName="tblOffActual" ref="B10:O19" totalsRowCount="1" headerRowDxfId="123" dataDxfId="122" totalsRowDxfId="121">
  <tableColumns count="14">
    <tableColumn id="1" name="Office Costs" totalsRowLabel="Subtotal" dataDxfId="111" totalsRowDxfId="110"/>
    <tableColumn id="2" name="Jan" totalsRowFunction="sum" dataDxfId="109" totalsRowDxfId="108"/>
    <tableColumn id="3" name="Feb" totalsRowFunction="sum" dataDxfId="107" totalsRowDxfId="106"/>
    <tableColumn id="4" name="Mar" totalsRowFunction="sum" dataDxfId="105" totalsRowDxfId="104"/>
    <tableColumn id="5" name="Apr" totalsRowFunction="sum" dataDxfId="103" totalsRowDxfId="102"/>
    <tableColumn id="6" name="May" totalsRowFunction="sum" dataDxfId="101" totalsRowDxfId="100"/>
    <tableColumn id="7" name="Jun" totalsRowFunction="sum" dataDxfId="99" totalsRowDxfId="98"/>
    <tableColumn id="8" name="Jul" totalsRowFunction="sum" dataDxfId="97" totalsRowDxfId="96"/>
    <tableColumn id="9" name="Aug" totalsRowFunction="sum" dataDxfId="95" totalsRowDxfId="94"/>
    <tableColumn id="10" name="Sep" totalsRowFunction="sum" dataDxfId="93" totalsRowDxfId="92"/>
    <tableColumn id="11" name="Oct" totalsRowFunction="sum" dataDxfId="91" totalsRowDxfId="90"/>
    <tableColumn id="12" name="Nov" totalsRowFunction="sum" dataDxfId="89" totalsRowDxfId="88"/>
    <tableColumn id="13" name="Dec" totalsRowFunction="sum" dataDxfId="87" totalsRowDxfId="86"/>
    <tableColumn id="14" name="YEAR" totalsRowFunction="sum" dataDxfId="85" totalsRowDxfId="84">
      <calculatedColumnFormula>SUM(C11:N11)</calculatedColumnFormula>
    </tableColumn>
  </tableColumns>
  <tableStyleInfo name="Detailed expense estimates Table 2" showFirstColumn="1" showLastColumn="1" showRowStripes="0" showColumnStripes="0"/>
  <extLst>
    <ext xmlns:x14="http://schemas.microsoft.com/office/spreadsheetml/2009/9/main" uri="{504A1905-F514-4f6f-8877-14C23A59335A}">
      <x14:table altText="Table" altTextSummary="Enter actual office costs per month."/>
    </ext>
  </extLst>
</table>
</file>

<file path=xl/tables/table2.xml><?xml version="1.0" encoding="utf-8"?>
<table xmlns="http://schemas.openxmlformats.org/spreadsheetml/2006/main" id="5" name="tblMarkActual" displayName="tblMarkActual" ref="B21:O28" totalsRowCount="1" headerRowDxfId="120" dataDxfId="119" totalsRowDxfId="118">
  <tableColumns count="14">
    <tableColumn id="1" name="Marketing Costs" totalsRowLabel="Subtotal" dataDxfId="83" totalsRowDxfId="82"/>
    <tableColumn id="2" name="Jan" totalsRowFunction="sum" dataDxfId="81" totalsRowDxfId="80"/>
    <tableColumn id="3" name="Feb" totalsRowFunction="sum" dataDxfId="79" totalsRowDxfId="78"/>
    <tableColumn id="4" name="Mar" totalsRowFunction="sum" dataDxfId="77" totalsRowDxfId="76"/>
    <tableColumn id="5" name="Apr" totalsRowFunction="sum" dataDxfId="75" totalsRowDxfId="74"/>
    <tableColumn id="6" name="May" totalsRowFunction="sum" dataDxfId="73" totalsRowDxfId="72"/>
    <tableColumn id="7" name="Jun" totalsRowFunction="sum" dataDxfId="71" totalsRowDxfId="70"/>
    <tableColumn id="8" name="Jul" totalsRowFunction="sum" dataDxfId="69" totalsRowDxfId="68"/>
    <tableColumn id="9" name="Aug" totalsRowFunction="sum" dataDxfId="67" totalsRowDxfId="66"/>
    <tableColumn id="10" name="Sep" totalsRowFunction="sum" dataDxfId="65" totalsRowDxfId="64"/>
    <tableColumn id="11" name="Oct" totalsRowFunction="sum" dataDxfId="63" totalsRowDxfId="62"/>
    <tableColumn id="12" name="Nov" totalsRowFunction="sum" dataDxfId="61" totalsRowDxfId="60"/>
    <tableColumn id="13" name="Dec" totalsRowFunction="sum" dataDxfId="59" totalsRowDxfId="58"/>
    <tableColumn id="14" name="YEAR" totalsRowFunction="sum" dataDxfId="57" totalsRowDxfId="56">
      <calculatedColumnFormula>SUM(C22:N22)</calculatedColumnFormula>
    </tableColumn>
  </tableColumns>
  <tableStyleInfo name="Detailed expense estimates Table 2" showFirstColumn="1" showLastColumn="1" showRowStripes="0" showColumnStripes="0"/>
  <extLst>
    <ext xmlns:x14="http://schemas.microsoft.com/office/spreadsheetml/2009/9/main" uri="{504A1905-F514-4f6f-8877-14C23A59335A}">
      <x14:table altText="Table" altTextSummary="Enter actual marketing costs per month."/>
    </ext>
  </extLst>
</table>
</file>

<file path=xl/tables/table3.xml><?xml version="1.0" encoding="utf-8"?>
<table xmlns="http://schemas.openxmlformats.org/spreadsheetml/2006/main" id="6" name="tblTrainActual" displayName="tblTrainActual" ref="B30:O33" totalsRowCount="1" headerRowDxfId="117" dataDxfId="116" totalsRowDxfId="115">
  <tableColumns count="14">
    <tableColumn id="1" name="Training/Travel" totalsRowLabel="Subtotal" dataDxfId="55" totalsRowDxfId="54"/>
    <tableColumn id="2" name="Jan" totalsRowFunction="sum" dataDxfId="53" totalsRowDxfId="52"/>
    <tableColumn id="3" name="Feb" totalsRowFunction="sum" dataDxfId="51" totalsRowDxfId="50"/>
    <tableColumn id="4" name="Mar" totalsRowFunction="sum" dataDxfId="49" totalsRowDxfId="48"/>
    <tableColumn id="5" name="Apr" totalsRowFunction="sum" dataDxfId="47" totalsRowDxfId="46"/>
    <tableColumn id="6" name="May" totalsRowFunction="sum" dataDxfId="45" totalsRowDxfId="44"/>
    <tableColumn id="7" name="Jun" totalsRowFunction="sum" dataDxfId="43" totalsRowDxfId="42"/>
    <tableColumn id="8" name="Jul" totalsRowFunction="sum" dataDxfId="41" totalsRowDxfId="40"/>
    <tableColumn id="9" name="Aug" totalsRowFunction="sum" dataDxfId="39" totalsRowDxfId="38"/>
    <tableColumn id="10" name="Sep" totalsRowFunction="sum" dataDxfId="37" totalsRowDxfId="36"/>
    <tableColumn id="11" name="Oct" totalsRowFunction="sum" dataDxfId="35" totalsRowDxfId="34"/>
    <tableColumn id="12" name="Nov" totalsRowFunction="sum" dataDxfId="33" totalsRowDxfId="32"/>
    <tableColumn id="13" name="Dec" totalsRowFunction="sum" dataDxfId="31" totalsRowDxfId="30"/>
    <tableColumn id="14" name="YEAR" totalsRowFunction="sum" dataDxfId="29" totalsRowDxfId="28">
      <calculatedColumnFormula>SUM(C31:N31)</calculatedColumnFormula>
    </tableColumn>
  </tableColumns>
  <tableStyleInfo name="Detailed expense estimates Table 2" showFirstColumn="1" showLastColumn="1" showRowStripes="0" showColumnStripes="0"/>
  <extLst>
    <ext xmlns:x14="http://schemas.microsoft.com/office/spreadsheetml/2009/9/main" uri="{504A1905-F514-4f6f-8877-14C23A59335A}">
      <x14:table altText="Table" altTextSummary="Enter actual training/travel costs per month."/>
    </ext>
  </extLst>
</table>
</file>

<file path=xl/tables/table4.xml><?xml version="1.0" encoding="utf-8"?>
<table xmlns="http://schemas.openxmlformats.org/spreadsheetml/2006/main" id="8" name="tblEmplActual" displayName="tblEmplActual" ref="B5:O8" totalsRowCount="1" headerRowDxfId="114" dataDxfId="113" totalsRowDxfId="112">
  <tableColumns count="14">
    <tableColumn id="1" name="Employee Costs" totalsRowLabel="Subtotal" dataDxfId="27" totalsRowDxfId="26"/>
    <tableColumn id="2" name="Jan" totalsRowFunction="sum" dataDxfId="25" totalsRowDxfId="24">
      <calculatedColumnFormula>C5*0.27</calculatedColumnFormula>
    </tableColumn>
    <tableColumn id="3" name="Feb" totalsRowFunction="sum" dataDxfId="23" totalsRowDxfId="22">
      <calculatedColumnFormula>D5*0.27</calculatedColumnFormula>
    </tableColumn>
    <tableColumn id="4" name="Mar" totalsRowFunction="sum" dataDxfId="21" totalsRowDxfId="20">
      <calculatedColumnFormula>E5*0.27</calculatedColumnFormula>
    </tableColumn>
    <tableColumn id="5" name="Apr" totalsRowFunction="sum" dataDxfId="19" totalsRowDxfId="18">
      <calculatedColumnFormula>F5*0.27</calculatedColumnFormula>
    </tableColumn>
    <tableColumn id="6" name="May" totalsRowFunction="sum" dataDxfId="17" totalsRowDxfId="16">
      <calculatedColumnFormula>G5*0.27</calculatedColumnFormula>
    </tableColumn>
    <tableColumn id="7" name="Jun" totalsRowFunction="sum" dataDxfId="15" totalsRowDxfId="14">
      <calculatedColumnFormula>H5*0.27</calculatedColumnFormula>
    </tableColumn>
    <tableColumn id="8" name="Jul" totalsRowFunction="sum" dataDxfId="13" totalsRowDxfId="12"/>
    <tableColumn id="9" name="Aug" totalsRowFunction="sum" dataDxfId="11" totalsRowDxfId="10"/>
    <tableColumn id="10" name="Sep" totalsRowFunction="sum" dataDxfId="9" totalsRowDxfId="8"/>
    <tableColumn id="11" name="Oct" totalsRowFunction="sum" dataDxfId="7" totalsRowDxfId="6"/>
    <tableColumn id="12" name="Nov" totalsRowFunction="sum" dataDxfId="5" totalsRowDxfId="4"/>
    <tableColumn id="13" name="Dec" totalsRowFunction="sum" dataDxfId="3" totalsRowDxfId="2"/>
    <tableColumn id="14" name="YEAR" totalsRowFunction="sum" dataDxfId="1" totalsRowDxfId="0">
      <calculatedColumnFormula>SUM(C6:N6)</calculatedColumnFormula>
    </tableColumn>
  </tableColumns>
  <tableStyleInfo name="Detailed expense estimates Table 2" showFirstColumn="1" showLastColumn="1" showRowStripes="0" showColumnStripes="0"/>
  <extLst>
    <ext xmlns:x14="http://schemas.microsoft.com/office/spreadsheetml/2009/9/main" uri="{504A1905-F514-4f6f-8877-14C23A59335A}">
      <x14:table altText="Table" altTextSummary="Enter actual employee costs per month."/>
    </ext>
  </extLst>
</table>
</file>

<file path=xl/theme/theme1.xml><?xml version="1.0" encoding="utf-8"?>
<a:theme xmlns:a="http://schemas.openxmlformats.org/drawingml/2006/main" name="Office Theme">
  <a:themeElements>
    <a:clrScheme name="Custom 25">
      <a:dk1>
        <a:sysClr val="windowText" lastClr="000000"/>
      </a:dk1>
      <a:lt1>
        <a:srgbClr val="FFFFFF"/>
      </a:lt1>
      <a:dk2>
        <a:srgbClr val="2F4B83"/>
      </a:dk2>
      <a:lt2>
        <a:srgbClr val="F2F2F2"/>
      </a:lt2>
      <a:accent1>
        <a:srgbClr val="CC1D10"/>
      </a:accent1>
      <a:accent2>
        <a:srgbClr val="357B37"/>
      </a:accent2>
      <a:accent3>
        <a:srgbClr val="34A0DC"/>
      </a:accent3>
      <a:accent4>
        <a:srgbClr val="B71F66"/>
      </a:accent4>
      <a:accent5>
        <a:srgbClr val="255D77"/>
      </a:accent5>
      <a:accent6>
        <a:srgbClr val="EF4538"/>
      </a:accent6>
      <a:hlink>
        <a:srgbClr val="7DC6F3"/>
      </a:hlink>
      <a:folHlink>
        <a:srgbClr val="7DC6F3"/>
      </a:folHlink>
    </a:clrScheme>
    <a:fontScheme name="Custom 18">
      <a:majorFont>
        <a:latin typeface="Franklin Gothic Book"/>
        <a:ea typeface=""/>
        <a:cs typeface=""/>
      </a:majorFont>
      <a:minorFont>
        <a:latin typeface="Microsoft Sans Seri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P41"/>
  <sheetViews>
    <sheetView showGridLines="0" tabSelected="1" zoomScaleNormal="100" workbookViewId="0"/>
  </sheetViews>
  <sheetFormatPr defaultRowHeight="21" customHeight="1"/>
  <cols>
    <col min="1" max="1" width="0.85546875" style="1" customWidth="1"/>
    <col min="2" max="2" width="28.5703125" style="6" customWidth="1"/>
    <col min="3" max="15" width="14" style="6" customWidth="1"/>
    <col min="16" max="16" width="4.7109375" style="1" customWidth="1"/>
    <col min="17" max="16384" width="9.140625" style="6"/>
  </cols>
  <sheetData>
    <row r="1" spans="1:16" s="1" customFormat="1" ht="4.5" customHeight="1">
      <c r="A1" s="12" t="s">
        <v>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s="1" customFormat="1" ht="45" customHeight="1">
      <c r="A2" s="12"/>
      <c r="B2" s="19" t="s">
        <v>53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6" s="2" customFormat="1" ht="82.5" customHeight="1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6" s="3" customFormat="1" ht="30.75" customHeight="1">
      <c r="B4" s="25" t="s">
        <v>52</v>
      </c>
      <c r="C4" s="26" t="s">
        <v>40</v>
      </c>
      <c r="D4" s="26" t="s">
        <v>41</v>
      </c>
      <c r="E4" s="27" t="s">
        <v>42</v>
      </c>
      <c r="F4" s="26" t="s">
        <v>43</v>
      </c>
      <c r="G4" s="26" t="s">
        <v>44</v>
      </c>
      <c r="H4" s="26" t="s">
        <v>45</v>
      </c>
      <c r="I4" s="27" t="s">
        <v>46</v>
      </c>
      <c r="J4" s="26" t="s">
        <v>47</v>
      </c>
      <c r="K4" s="26" t="s">
        <v>48</v>
      </c>
      <c r="L4" s="26" t="s">
        <v>49</v>
      </c>
      <c r="M4" s="26" t="s">
        <v>50</v>
      </c>
      <c r="N4" s="27" t="s">
        <v>51</v>
      </c>
      <c r="O4" s="28" t="s">
        <v>12</v>
      </c>
      <c r="P4" s="1"/>
    </row>
    <row r="5" spans="1:16" s="5" customFormat="1" ht="24.95" customHeight="1">
      <c r="A5" s="4"/>
      <c r="B5" s="29" t="s">
        <v>13</v>
      </c>
      <c r="C5" s="13" t="s">
        <v>0</v>
      </c>
      <c r="D5" s="13" t="s">
        <v>1</v>
      </c>
      <c r="E5" s="14" t="s">
        <v>2</v>
      </c>
      <c r="F5" s="13" t="s">
        <v>3</v>
      </c>
      <c r="G5" s="13" t="s">
        <v>4</v>
      </c>
      <c r="H5" s="13" t="s">
        <v>5</v>
      </c>
      <c r="I5" s="13" t="s">
        <v>6</v>
      </c>
      <c r="J5" s="13" t="s">
        <v>7</v>
      </c>
      <c r="K5" s="13" t="s">
        <v>8</v>
      </c>
      <c r="L5" s="13" t="s">
        <v>9</v>
      </c>
      <c r="M5" s="13" t="s">
        <v>10</v>
      </c>
      <c r="N5" s="13" t="s">
        <v>11</v>
      </c>
      <c r="O5" s="30" t="s">
        <v>12</v>
      </c>
      <c r="P5" s="4"/>
    </row>
    <row r="6" spans="1:16" s="5" customFormat="1" ht="24.95" customHeight="1">
      <c r="A6" s="1"/>
      <c r="B6" s="31" t="s">
        <v>14</v>
      </c>
      <c r="C6" s="15">
        <v>85000</v>
      </c>
      <c r="D6" s="15">
        <v>85000</v>
      </c>
      <c r="E6" s="15">
        <v>85000</v>
      </c>
      <c r="F6" s="15">
        <v>88000</v>
      </c>
      <c r="G6" s="15">
        <v>88000</v>
      </c>
      <c r="H6" s="15">
        <v>88000</v>
      </c>
      <c r="I6" s="15">
        <v>80000</v>
      </c>
      <c r="J6" s="15">
        <v>89000</v>
      </c>
      <c r="K6" s="15">
        <v>87500</v>
      </c>
      <c r="L6" s="15">
        <v>82300</v>
      </c>
      <c r="M6" s="15">
        <v>78500</v>
      </c>
      <c r="N6" s="15">
        <v>81200</v>
      </c>
      <c r="O6" s="32">
        <f>SUM(C6:N6)</f>
        <v>1017500</v>
      </c>
      <c r="P6" s="1"/>
    </row>
    <row r="7" spans="1:16" s="5" customFormat="1" ht="24.95" customHeight="1">
      <c r="A7" s="1"/>
      <c r="B7" s="31" t="s">
        <v>15</v>
      </c>
      <c r="C7" s="15">
        <f t="shared" ref="C7:N7" si="0">C6*0.27</f>
        <v>22950</v>
      </c>
      <c r="D7" s="15">
        <f t="shared" si="0"/>
        <v>22950</v>
      </c>
      <c r="E7" s="15">
        <f t="shared" si="0"/>
        <v>22950</v>
      </c>
      <c r="F7" s="15">
        <f t="shared" si="0"/>
        <v>23760</v>
      </c>
      <c r="G7" s="15">
        <f t="shared" si="0"/>
        <v>23760</v>
      </c>
      <c r="H7" s="15">
        <f t="shared" si="0"/>
        <v>23760</v>
      </c>
      <c r="I7" s="15">
        <f t="shared" si="0"/>
        <v>21600</v>
      </c>
      <c r="J7" s="15">
        <f t="shared" si="0"/>
        <v>24030</v>
      </c>
      <c r="K7" s="15">
        <f t="shared" si="0"/>
        <v>23625</v>
      </c>
      <c r="L7" s="15">
        <f t="shared" si="0"/>
        <v>22221</v>
      </c>
      <c r="M7" s="15">
        <f t="shared" si="0"/>
        <v>21195</v>
      </c>
      <c r="N7" s="15">
        <f t="shared" si="0"/>
        <v>21924</v>
      </c>
      <c r="O7" s="32">
        <f>SUM(C7:N7)</f>
        <v>274725</v>
      </c>
      <c r="P7" s="1"/>
    </row>
    <row r="8" spans="1:16" ht="24.95" customHeight="1">
      <c r="B8" s="33" t="s">
        <v>16</v>
      </c>
      <c r="C8" s="16">
        <f>SUBTOTAL(109,tblEmplActual[Jan])</f>
        <v>107950</v>
      </c>
      <c r="D8" s="16">
        <f>SUBTOTAL(109,tblEmplActual[Feb])</f>
        <v>107950</v>
      </c>
      <c r="E8" s="16">
        <f>SUBTOTAL(109,tblEmplActual[Mar])</f>
        <v>107950</v>
      </c>
      <c r="F8" s="16">
        <f>SUBTOTAL(109,tblEmplActual[Apr])</f>
        <v>111760</v>
      </c>
      <c r="G8" s="16">
        <f>SUBTOTAL(109,tblEmplActual[May])</f>
        <v>111760</v>
      </c>
      <c r="H8" s="16">
        <f>SUBTOTAL(109,tblEmplActual[Jun])</f>
        <v>111760</v>
      </c>
      <c r="I8" s="16">
        <f>SUBTOTAL(109,tblEmplActual[Jul])</f>
        <v>101600</v>
      </c>
      <c r="J8" s="16">
        <f>SUBTOTAL(109,tblEmplActual[Aug])</f>
        <v>113030</v>
      </c>
      <c r="K8" s="16">
        <f>SUBTOTAL(109,tblEmplActual[Sep])</f>
        <v>111125</v>
      </c>
      <c r="L8" s="16">
        <f>SUBTOTAL(109,tblEmplActual[Oct])</f>
        <v>104521</v>
      </c>
      <c r="M8" s="16">
        <f>SUBTOTAL(109,tblEmplActual[Nov])</f>
        <v>99695</v>
      </c>
      <c r="N8" s="16">
        <f>SUBTOTAL(109,tblEmplActual[Dec])</f>
        <v>103124</v>
      </c>
      <c r="O8" s="34">
        <f>SUBTOTAL(109,tblEmplActual[YEAR])</f>
        <v>1292225</v>
      </c>
    </row>
    <row r="9" spans="1:16" s="1" customFormat="1" ht="21" customHeight="1">
      <c r="B9" s="35"/>
      <c r="C9" s="7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</row>
    <row r="10" spans="1:16" ht="24.95" customHeight="1">
      <c r="B10" s="29" t="s">
        <v>17</v>
      </c>
      <c r="C10" s="13" t="s">
        <v>0</v>
      </c>
      <c r="D10" s="13" t="s">
        <v>1</v>
      </c>
      <c r="E10" s="14" t="s">
        <v>2</v>
      </c>
      <c r="F10" s="13" t="s">
        <v>3</v>
      </c>
      <c r="G10" s="13" t="s">
        <v>4</v>
      </c>
      <c r="H10" s="13" t="s">
        <v>5</v>
      </c>
      <c r="I10" s="13" t="s">
        <v>6</v>
      </c>
      <c r="J10" s="13" t="s">
        <v>7</v>
      </c>
      <c r="K10" s="13" t="s">
        <v>8</v>
      </c>
      <c r="L10" s="13" t="s">
        <v>9</v>
      </c>
      <c r="M10" s="13" t="s">
        <v>10</v>
      </c>
      <c r="N10" s="13" t="s">
        <v>11</v>
      </c>
      <c r="O10" s="30" t="s">
        <v>12</v>
      </c>
    </row>
    <row r="11" spans="1:16" ht="24.95" customHeight="1">
      <c r="B11" s="31" t="s">
        <v>18</v>
      </c>
      <c r="C11" s="15">
        <v>9800</v>
      </c>
      <c r="D11" s="15">
        <v>9800</v>
      </c>
      <c r="E11" s="15">
        <v>9800</v>
      </c>
      <c r="F11" s="15">
        <v>9800</v>
      </c>
      <c r="G11" s="15">
        <v>9800</v>
      </c>
      <c r="H11" s="15">
        <v>9800</v>
      </c>
      <c r="I11" s="15">
        <v>9800</v>
      </c>
      <c r="J11" s="15">
        <v>9800</v>
      </c>
      <c r="K11" s="15">
        <v>10100</v>
      </c>
      <c r="L11" s="15">
        <v>10100</v>
      </c>
      <c r="M11" s="15">
        <v>10100</v>
      </c>
      <c r="N11" s="15">
        <v>10100</v>
      </c>
      <c r="O11" s="32">
        <f t="shared" ref="O11:O18" si="1">SUM(C11:N11)</f>
        <v>118800</v>
      </c>
    </row>
    <row r="12" spans="1:16" ht="24.95" customHeight="1">
      <c r="B12" s="31" t="s">
        <v>19</v>
      </c>
      <c r="C12" s="15">
        <v>4</v>
      </c>
      <c r="D12" s="15">
        <v>430</v>
      </c>
      <c r="E12" s="15">
        <v>385</v>
      </c>
      <c r="F12" s="15">
        <v>230</v>
      </c>
      <c r="G12" s="15">
        <v>87</v>
      </c>
      <c r="H12" s="15">
        <v>88</v>
      </c>
      <c r="I12" s="15">
        <v>120</v>
      </c>
      <c r="J12" s="15">
        <v>93</v>
      </c>
      <c r="K12" s="15">
        <v>85</v>
      </c>
      <c r="L12" s="15">
        <v>110</v>
      </c>
      <c r="M12" s="15">
        <v>254</v>
      </c>
      <c r="N12" s="15">
        <v>158</v>
      </c>
      <c r="O12" s="32">
        <f t="shared" si="1"/>
        <v>2044</v>
      </c>
    </row>
    <row r="13" spans="1:16" ht="24.95" customHeight="1">
      <c r="B13" s="31" t="s">
        <v>20</v>
      </c>
      <c r="C13" s="15">
        <v>288</v>
      </c>
      <c r="D13" s="15">
        <v>278</v>
      </c>
      <c r="E13" s="15">
        <v>268</v>
      </c>
      <c r="F13" s="15">
        <v>299</v>
      </c>
      <c r="G13" s="15">
        <v>306</v>
      </c>
      <c r="H13" s="15">
        <v>290</v>
      </c>
      <c r="I13" s="15">
        <v>250</v>
      </c>
      <c r="J13" s="15">
        <v>278</v>
      </c>
      <c r="K13" s="15">
        <v>308</v>
      </c>
      <c r="L13" s="15">
        <v>297</v>
      </c>
      <c r="M13" s="15">
        <v>264</v>
      </c>
      <c r="N13" s="15">
        <v>285</v>
      </c>
      <c r="O13" s="32">
        <f t="shared" si="1"/>
        <v>3411</v>
      </c>
    </row>
    <row r="14" spans="1:16" ht="24.95" customHeight="1">
      <c r="B14" s="31" t="s">
        <v>21</v>
      </c>
      <c r="C14" s="15">
        <v>35</v>
      </c>
      <c r="D14" s="15">
        <v>33</v>
      </c>
      <c r="E14" s="15">
        <v>34</v>
      </c>
      <c r="F14" s="15">
        <v>36</v>
      </c>
      <c r="G14" s="15">
        <v>34</v>
      </c>
      <c r="H14" s="15">
        <v>36</v>
      </c>
      <c r="I14" s="15">
        <v>34</v>
      </c>
      <c r="J14" s="15">
        <v>35</v>
      </c>
      <c r="K14" s="15">
        <v>35</v>
      </c>
      <c r="L14" s="15">
        <v>36</v>
      </c>
      <c r="M14" s="15">
        <v>34</v>
      </c>
      <c r="N14" s="15">
        <v>34</v>
      </c>
      <c r="O14" s="32">
        <f t="shared" si="1"/>
        <v>416</v>
      </c>
    </row>
    <row r="15" spans="1:16" ht="24.95" customHeight="1">
      <c r="B15" s="31" t="s">
        <v>22</v>
      </c>
      <c r="C15" s="15">
        <v>224</v>
      </c>
      <c r="D15" s="15">
        <v>235</v>
      </c>
      <c r="E15" s="15">
        <v>265</v>
      </c>
      <c r="F15" s="15">
        <v>245</v>
      </c>
      <c r="G15" s="15">
        <v>245</v>
      </c>
      <c r="H15" s="15">
        <v>220</v>
      </c>
      <c r="I15" s="15">
        <v>232</v>
      </c>
      <c r="J15" s="15">
        <v>240</v>
      </c>
      <c r="K15" s="15">
        <v>225</v>
      </c>
      <c r="L15" s="15">
        <v>238</v>
      </c>
      <c r="M15" s="15">
        <v>243</v>
      </c>
      <c r="N15" s="15">
        <v>221</v>
      </c>
      <c r="O15" s="32">
        <f t="shared" si="1"/>
        <v>2833</v>
      </c>
    </row>
    <row r="16" spans="1:16" ht="24.95" customHeight="1">
      <c r="B16" s="31" t="s">
        <v>23</v>
      </c>
      <c r="C16" s="15">
        <v>180</v>
      </c>
      <c r="D16" s="15">
        <v>180</v>
      </c>
      <c r="E16" s="15">
        <v>180</v>
      </c>
      <c r="F16" s="15">
        <v>180</v>
      </c>
      <c r="G16" s="15">
        <v>180</v>
      </c>
      <c r="H16" s="15">
        <v>180</v>
      </c>
      <c r="I16" s="15">
        <v>180</v>
      </c>
      <c r="J16" s="15">
        <v>180</v>
      </c>
      <c r="K16" s="15">
        <v>180</v>
      </c>
      <c r="L16" s="15">
        <v>180</v>
      </c>
      <c r="M16" s="15">
        <v>180</v>
      </c>
      <c r="N16" s="15">
        <v>180</v>
      </c>
      <c r="O16" s="32">
        <f t="shared" si="1"/>
        <v>2160</v>
      </c>
    </row>
    <row r="17" spans="2:15" ht="24.95" customHeight="1">
      <c r="B17" s="31" t="s">
        <v>24</v>
      </c>
      <c r="C17" s="15">
        <v>256</v>
      </c>
      <c r="D17" s="15">
        <v>142</v>
      </c>
      <c r="E17" s="15">
        <v>160</v>
      </c>
      <c r="F17" s="15">
        <v>221</v>
      </c>
      <c r="G17" s="15">
        <v>256</v>
      </c>
      <c r="H17" s="15">
        <v>240</v>
      </c>
      <c r="I17" s="15">
        <v>521</v>
      </c>
      <c r="J17" s="15">
        <v>120</v>
      </c>
      <c r="K17" s="15">
        <v>145</v>
      </c>
      <c r="L17" s="15">
        <v>104</v>
      </c>
      <c r="M17" s="15">
        <v>186</v>
      </c>
      <c r="N17" s="15">
        <v>258</v>
      </c>
      <c r="O17" s="32">
        <f t="shared" si="1"/>
        <v>2609</v>
      </c>
    </row>
    <row r="18" spans="2:15" ht="24.95" customHeight="1">
      <c r="B18" s="31" t="s">
        <v>25</v>
      </c>
      <c r="C18" s="15">
        <v>600</v>
      </c>
      <c r="D18" s="15">
        <v>600</v>
      </c>
      <c r="E18" s="15">
        <v>600</v>
      </c>
      <c r="F18" s="15">
        <v>600</v>
      </c>
      <c r="G18" s="15">
        <v>600</v>
      </c>
      <c r="H18" s="15">
        <v>600</v>
      </c>
      <c r="I18" s="15">
        <v>600</v>
      </c>
      <c r="J18" s="15">
        <v>600</v>
      </c>
      <c r="K18" s="15">
        <v>600</v>
      </c>
      <c r="L18" s="15">
        <v>600</v>
      </c>
      <c r="M18" s="15">
        <v>600</v>
      </c>
      <c r="N18" s="15">
        <v>600</v>
      </c>
      <c r="O18" s="32">
        <f t="shared" si="1"/>
        <v>7200</v>
      </c>
    </row>
    <row r="19" spans="2:15" ht="24.95" customHeight="1">
      <c r="B19" s="33" t="s">
        <v>16</v>
      </c>
      <c r="C19" s="16">
        <f>SUBTOTAL(109,tblOffActual[Jan])</f>
        <v>11387</v>
      </c>
      <c r="D19" s="16">
        <f>SUBTOTAL(109,tblOffActual[Feb])</f>
        <v>11698</v>
      </c>
      <c r="E19" s="16">
        <f>SUBTOTAL(109,tblOffActual[Mar])</f>
        <v>11692</v>
      </c>
      <c r="F19" s="16">
        <f>SUBTOTAL(109,tblOffActual[Apr])</f>
        <v>11611</v>
      </c>
      <c r="G19" s="16">
        <f>SUBTOTAL(109,tblOffActual[May])</f>
        <v>11508</v>
      </c>
      <c r="H19" s="16">
        <f>SUBTOTAL(109,tblOffActual[Jun])</f>
        <v>11454</v>
      </c>
      <c r="I19" s="16">
        <f>SUBTOTAL(109,tblOffActual[Jul])</f>
        <v>11737</v>
      </c>
      <c r="J19" s="16">
        <f>SUBTOTAL(109,tblOffActual[Aug])</f>
        <v>11346</v>
      </c>
      <c r="K19" s="16">
        <f>SUBTOTAL(109,tblOffActual[Sep])</f>
        <v>11678</v>
      </c>
      <c r="L19" s="16">
        <f>SUBTOTAL(109,tblOffActual[Oct])</f>
        <v>11665</v>
      </c>
      <c r="M19" s="16">
        <f>SUBTOTAL(109,tblOffActual[Nov])</f>
        <v>11861</v>
      </c>
      <c r="N19" s="16">
        <f>SUBTOTAL(109,tblOffActual[Dec])</f>
        <v>11836</v>
      </c>
      <c r="O19" s="34">
        <f>SUBTOTAL(109,tblOffActual[YEAR])</f>
        <v>139473</v>
      </c>
    </row>
    <row r="20" spans="2:15" ht="21" customHeight="1">
      <c r="B20" s="38"/>
      <c r="C20" s="8"/>
      <c r="D20" s="36"/>
      <c r="E20" s="36"/>
      <c r="F20" s="39"/>
      <c r="G20" s="39"/>
      <c r="H20" s="39"/>
      <c r="I20" s="39"/>
      <c r="J20" s="39"/>
      <c r="K20" s="39"/>
      <c r="L20" s="39"/>
      <c r="M20" s="39"/>
      <c r="N20" s="39"/>
      <c r="O20" s="37"/>
    </row>
    <row r="21" spans="2:15" ht="24.95" customHeight="1">
      <c r="B21" s="29" t="s">
        <v>26</v>
      </c>
      <c r="C21" s="13" t="s">
        <v>0</v>
      </c>
      <c r="D21" s="13" t="s">
        <v>1</v>
      </c>
      <c r="E21" s="14" t="s">
        <v>2</v>
      </c>
      <c r="F21" s="13" t="s">
        <v>3</v>
      </c>
      <c r="G21" s="13" t="s">
        <v>4</v>
      </c>
      <c r="H21" s="13" t="s">
        <v>5</v>
      </c>
      <c r="I21" s="13" t="s">
        <v>6</v>
      </c>
      <c r="J21" s="13" t="s">
        <v>7</v>
      </c>
      <c r="K21" s="13" t="s">
        <v>8</v>
      </c>
      <c r="L21" s="13" t="s">
        <v>9</v>
      </c>
      <c r="M21" s="13" t="s">
        <v>10</v>
      </c>
      <c r="N21" s="13" t="s">
        <v>11</v>
      </c>
      <c r="O21" s="30" t="s">
        <v>12</v>
      </c>
    </row>
    <row r="22" spans="2:15" ht="24.95" customHeight="1">
      <c r="B22" s="31" t="s">
        <v>27</v>
      </c>
      <c r="C22" s="15">
        <v>500</v>
      </c>
      <c r="D22" s="15">
        <v>500</v>
      </c>
      <c r="E22" s="15">
        <v>500</v>
      </c>
      <c r="F22" s="15">
        <v>500</v>
      </c>
      <c r="G22" s="15">
        <v>500</v>
      </c>
      <c r="H22" s="15">
        <v>500</v>
      </c>
      <c r="I22" s="15">
        <v>500</v>
      </c>
      <c r="J22" s="15">
        <v>500</v>
      </c>
      <c r="K22" s="15">
        <v>500</v>
      </c>
      <c r="L22" s="15">
        <v>500</v>
      </c>
      <c r="M22" s="15">
        <v>500</v>
      </c>
      <c r="N22" s="15">
        <v>500</v>
      </c>
      <c r="O22" s="32">
        <f t="shared" ref="O22:O27" si="2">SUM(C22:N22)</f>
        <v>6000</v>
      </c>
    </row>
    <row r="23" spans="2:15" ht="24.95" customHeight="1">
      <c r="B23" s="31" t="s">
        <v>28</v>
      </c>
      <c r="C23" s="15">
        <v>200</v>
      </c>
      <c r="D23" s="15">
        <v>200</v>
      </c>
      <c r="E23" s="15">
        <v>200</v>
      </c>
      <c r="F23" s="15">
        <v>200</v>
      </c>
      <c r="G23" s="15">
        <v>200</v>
      </c>
      <c r="H23" s="15">
        <v>1500</v>
      </c>
      <c r="I23" s="15">
        <v>200</v>
      </c>
      <c r="J23" s="15">
        <v>200</v>
      </c>
      <c r="K23" s="15">
        <v>200</v>
      </c>
      <c r="L23" s="15">
        <v>200</v>
      </c>
      <c r="M23" s="15">
        <v>200</v>
      </c>
      <c r="N23" s="15">
        <v>850</v>
      </c>
      <c r="O23" s="32">
        <f t="shared" si="2"/>
        <v>4350</v>
      </c>
    </row>
    <row r="24" spans="2:15" ht="24.95" customHeight="1">
      <c r="B24" s="31" t="s">
        <v>29</v>
      </c>
      <c r="C24" s="15">
        <v>4800</v>
      </c>
      <c r="D24" s="15">
        <v>0</v>
      </c>
      <c r="E24" s="15">
        <v>0</v>
      </c>
      <c r="F24" s="15">
        <v>5500</v>
      </c>
      <c r="G24" s="15">
        <v>0</v>
      </c>
      <c r="H24" s="15">
        <v>0</v>
      </c>
      <c r="I24" s="15">
        <v>4900</v>
      </c>
      <c r="J24" s="15">
        <v>0</v>
      </c>
      <c r="K24" s="15">
        <v>0</v>
      </c>
      <c r="L24" s="15">
        <v>5400</v>
      </c>
      <c r="M24" s="15">
        <v>0</v>
      </c>
      <c r="N24" s="15">
        <v>0</v>
      </c>
      <c r="O24" s="32">
        <f t="shared" si="2"/>
        <v>20600</v>
      </c>
    </row>
    <row r="25" spans="2:15" ht="24.95" customHeight="1">
      <c r="B25" s="31" t="s">
        <v>30</v>
      </c>
      <c r="C25" s="15">
        <v>100</v>
      </c>
      <c r="D25" s="15">
        <v>500</v>
      </c>
      <c r="E25" s="15">
        <v>100</v>
      </c>
      <c r="F25" s="15">
        <v>100</v>
      </c>
      <c r="G25" s="15">
        <v>600</v>
      </c>
      <c r="H25" s="15">
        <v>180</v>
      </c>
      <c r="I25" s="15">
        <v>100</v>
      </c>
      <c r="J25" s="15">
        <v>100</v>
      </c>
      <c r="K25" s="15">
        <v>400</v>
      </c>
      <c r="L25" s="15">
        <v>100</v>
      </c>
      <c r="M25" s="15">
        <v>450</v>
      </c>
      <c r="N25" s="15">
        <v>100</v>
      </c>
      <c r="O25" s="32">
        <f t="shared" si="2"/>
        <v>2830</v>
      </c>
    </row>
    <row r="26" spans="2:15" ht="24.95" customHeight="1">
      <c r="B26" s="31" t="s">
        <v>31</v>
      </c>
      <c r="C26" s="15">
        <v>1800</v>
      </c>
      <c r="D26" s="15">
        <v>2200</v>
      </c>
      <c r="E26" s="15">
        <v>2200</v>
      </c>
      <c r="F26" s="15">
        <v>4700</v>
      </c>
      <c r="G26" s="15">
        <v>1500</v>
      </c>
      <c r="H26" s="15">
        <v>2300</v>
      </c>
      <c r="I26" s="15">
        <v>1200</v>
      </c>
      <c r="J26" s="15">
        <v>2800</v>
      </c>
      <c r="K26" s="15">
        <v>4900</v>
      </c>
      <c r="L26" s="15">
        <v>1800</v>
      </c>
      <c r="M26" s="15">
        <v>2900</v>
      </c>
      <c r="N26" s="15">
        <v>2400</v>
      </c>
      <c r="O26" s="32">
        <f t="shared" si="2"/>
        <v>30700</v>
      </c>
    </row>
    <row r="27" spans="2:15" ht="24.95" customHeight="1">
      <c r="B27" s="31" t="s">
        <v>32</v>
      </c>
      <c r="C27" s="15">
        <v>145</v>
      </c>
      <c r="D27" s="15">
        <v>156</v>
      </c>
      <c r="E27" s="15">
        <v>123</v>
      </c>
      <c r="F27" s="15">
        <v>223</v>
      </c>
      <c r="G27" s="15">
        <v>187</v>
      </c>
      <c r="H27" s="15">
        <v>245</v>
      </c>
      <c r="I27" s="15">
        <v>89</v>
      </c>
      <c r="J27" s="15">
        <v>185</v>
      </c>
      <c r="K27" s="15">
        <v>247</v>
      </c>
      <c r="L27" s="15">
        <v>154</v>
      </c>
      <c r="M27" s="15">
        <v>284</v>
      </c>
      <c r="N27" s="15">
        <v>156</v>
      </c>
      <c r="O27" s="32">
        <f t="shared" si="2"/>
        <v>2194</v>
      </c>
    </row>
    <row r="28" spans="2:15" ht="24.95" customHeight="1">
      <c r="B28" s="33" t="s">
        <v>16</v>
      </c>
      <c r="C28" s="16">
        <f>SUBTOTAL(109,tblMarkActual[Jan])</f>
        <v>7545</v>
      </c>
      <c r="D28" s="16">
        <f>SUBTOTAL(109,tblMarkActual[Feb])</f>
        <v>3556</v>
      </c>
      <c r="E28" s="16">
        <f>SUBTOTAL(109,tblMarkActual[Mar])</f>
        <v>3123</v>
      </c>
      <c r="F28" s="16">
        <f>SUBTOTAL(109,tblMarkActual[Apr])</f>
        <v>11223</v>
      </c>
      <c r="G28" s="16">
        <f>SUBTOTAL(109,tblMarkActual[May])</f>
        <v>2987</v>
      </c>
      <c r="H28" s="16">
        <f>SUBTOTAL(109,tblMarkActual[Jun])</f>
        <v>4725</v>
      </c>
      <c r="I28" s="16">
        <f>SUBTOTAL(109,tblMarkActual[Jul])</f>
        <v>6989</v>
      </c>
      <c r="J28" s="16">
        <f>SUBTOTAL(109,tblMarkActual[Aug])</f>
        <v>3785</v>
      </c>
      <c r="K28" s="16">
        <f>SUBTOTAL(109,tblMarkActual[Sep])</f>
        <v>6247</v>
      </c>
      <c r="L28" s="16">
        <f>SUBTOTAL(109,tblMarkActual[Oct])</f>
        <v>8154</v>
      </c>
      <c r="M28" s="16">
        <f>SUBTOTAL(109,tblMarkActual[Nov])</f>
        <v>4334</v>
      </c>
      <c r="N28" s="16">
        <f>SUBTOTAL(109,tblMarkActual[Dec])</f>
        <v>4006</v>
      </c>
      <c r="O28" s="34">
        <f>SUBTOTAL(109,tblMarkActual[YEAR])</f>
        <v>66674</v>
      </c>
    </row>
    <row r="29" spans="2:15" ht="21" customHeight="1">
      <c r="B29" s="35"/>
      <c r="C29" s="7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7"/>
    </row>
    <row r="30" spans="2:15" ht="24.95" customHeight="1">
      <c r="B30" s="29" t="s">
        <v>33</v>
      </c>
      <c r="C30" s="13" t="s">
        <v>0</v>
      </c>
      <c r="D30" s="13" t="s">
        <v>1</v>
      </c>
      <c r="E30" s="14" t="s">
        <v>2</v>
      </c>
      <c r="F30" s="13" t="s">
        <v>3</v>
      </c>
      <c r="G30" s="13" t="s">
        <v>4</v>
      </c>
      <c r="H30" s="13" t="s">
        <v>5</v>
      </c>
      <c r="I30" s="13" t="s">
        <v>6</v>
      </c>
      <c r="J30" s="13" t="s">
        <v>7</v>
      </c>
      <c r="K30" s="13" t="s">
        <v>8</v>
      </c>
      <c r="L30" s="13" t="s">
        <v>9</v>
      </c>
      <c r="M30" s="13" t="s">
        <v>10</v>
      </c>
      <c r="N30" s="13" t="s">
        <v>11</v>
      </c>
      <c r="O30" s="30" t="s">
        <v>12</v>
      </c>
    </row>
    <row r="31" spans="2:15" ht="24.95" customHeight="1">
      <c r="B31" s="31" t="s">
        <v>34</v>
      </c>
      <c r="C31" s="15">
        <v>1600</v>
      </c>
      <c r="D31" s="15">
        <v>2400</v>
      </c>
      <c r="E31" s="15">
        <v>1400</v>
      </c>
      <c r="F31" s="15">
        <v>1600</v>
      </c>
      <c r="G31" s="15">
        <v>1200</v>
      </c>
      <c r="H31" s="15">
        <v>2800</v>
      </c>
      <c r="I31" s="15">
        <v>1200</v>
      </c>
      <c r="J31" s="15">
        <v>1600</v>
      </c>
      <c r="K31" s="15">
        <v>2600</v>
      </c>
      <c r="L31" s="15">
        <v>1200</v>
      </c>
      <c r="M31" s="15">
        <v>1400</v>
      </c>
      <c r="N31" s="15">
        <v>1200</v>
      </c>
      <c r="O31" s="32">
        <f>SUM(C31:N31)</f>
        <v>20200</v>
      </c>
    </row>
    <row r="32" spans="2:15" ht="24.95" customHeight="1">
      <c r="B32" s="31" t="s">
        <v>35</v>
      </c>
      <c r="C32" s="15">
        <v>1200</v>
      </c>
      <c r="D32" s="15">
        <v>2200</v>
      </c>
      <c r="E32" s="15">
        <v>1400</v>
      </c>
      <c r="F32" s="15">
        <v>1200</v>
      </c>
      <c r="G32" s="15">
        <v>800</v>
      </c>
      <c r="H32" s="15">
        <v>3500</v>
      </c>
      <c r="I32" s="15">
        <v>1000</v>
      </c>
      <c r="J32" s="15">
        <v>1800</v>
      </c>
      <c r="K32" s="15">
        <v>3100</v>
      </c>
      <c r="L32" s="15">
        <v>1600</v>
      </c>
      <c r="M32" s="15">
        <v>1200</v>
      </c>
      <c r="N32" s="15">
        <v>1800</v>
      </c>
      <c r="O32" s="32">
        <f>SUM(C32:N32)</f>
        <v>20800</v>
      </c>
    </row>
    <row r="33" spans="2:16" ht="24.95" customHeight="1">
      <c r="B33" s="33" t="s">
        <v>16</v>
      </c>
      <c r="C33" s="16">
        <f>SUBTOTAL(109,tblTrainActual[Jan])</f>
        <v>2800</v>
      </c>
      <c r="D33" s="16">
        <f>SUBTOTAL(109,tblTrainActual[Feb])</f>
        <v>4600</v>
      </c>
      <c r="E33" s="16">
        <f>SUBTOTAL(109,tblTrainActual[Mar])</f>
        <v>2800</v>
      </c>
      <c r="F33" s="16">
        <f>SUBTOTAL(109,tblTrainActual[Apr])</f>
        <v>2800</v>
      </c>
      <c r="G33" s="16">
        <f>SUBTOTAL(109,tblTrainActual[May])</f>
        <v>2000</v>
      </c>
      <c r="H33" s="16">
        <f>SUBTOTAL(109,tblTrainActual[Jun])</f>
        <v>6300</v>
      </c>
      <c r="I33" s="16">
        <f>SUBTOTAL(109,tblTrainActual[Jul])</f>
        <v>2200</v>
      </c>
      <c r="J33" s="16">
        <f>SUBTOTAL(109,tblTrainActual[Aug])</f>
        <v>3400</v>
      </c>
      <c r="K33" s="16">
        <f>SUBTOTAL(109,tblTrainActual[Sep])</f>
        <v>5700</v>
      </c>
      <c r="L33" s="16">
        <f>SUBTOTAL(109,tblTrainActual[Oct])</f>
        <v>2800</v>
      </c>
      <c r="M33" s="16">
        <f>SUBTOTAL(109,tblTrainActual[Nov])</f>
        <v>2600</v>
      </c>
      <c r="N33" s="16">
        <f>SUBTOTAL(109,tblTrainActual[Dec])</f>
        <v>3000</v>
      </c>
      <c r="O33" s="34">
        <f>SUBTOTAL(109,tblTrainActual[YEAR])</f>
        <v>41000</v>
      </c>
    </row>
    <row r="34" spans="2:16" ht="21" customHeight="1">
      <c r="B34" s="35"/>
      <c r="C34" s="7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37"/>
    </row>
    <row r="35" spans="2:16" ht="24.95" customHeight="1" thickBot="1">
      <c r="B35" s="41" t="s">
        <v>36</v>
      </c>
      <c r="C35" s="42"/>
      <c r="D35" s="42"/>
      <c r="E35" s="43"/>
      <c r="F35" s="42"/>
      <c r="G35" s="42"/>
      <c r="H35" s="42"/>
      <c r="I35" s="42"/>
      <c r="J35" s="42"/>
      <c r="K35" s="42"/>
      <c r="L35" s="42"/>
      <c r="M35" s="42"/>
      <c r="N35" s="42"/>
      <c r="O35" s="44"/>
    </row>
    <row r="36" spans="2:16" ht="24.95" customHeight="1" thickBot="1">
      <c r="B36" s="45" t="s">
        <v>37</v>
      </c>
      <c r="C36" s="18">
        <f>tblTrainActual[[#Totals],[Jan]]+tblMarkActual[[#Totals],[Jan]]+tblOffActual[[#Totals],[Jan]]+tblEmplActual[[#Totals],[Jan]]</f>
        <v>129682</v>
      </c>
      <c r="D36" s="10">
        <f>tblTrainActual[[#Totals],[Feb]]+tblMarkActual[[#Totals],[Feb]]+tblOffActual[[#Totals],[Feb]]+tblEmplActual[[#Totals],[Feb]]</f>
        <v>127804</v>
      </c>
      <c r="E36" s="10">
        <f>tblTrainActual[[#Totals],[Mar]]+tblMarkActual[[#Totals],[Mar]]+tblOffActual[[#Totals],[Mar]]+tblEmplActual[[#Totals],[Mar]]</f>
        <v>125565</v>
      </c>
      <c r="F36" s="10">
        <f>tblTrainActual[[#Totals],[Apr]]+tblMarkActual[[#Totals],[Apr]]+tblOffActual[[#Totals],[Apr]]+tblEmplActual[[#Totals],[Apr]]</f>
        <v>137394</v>
      </c>
      <c r="G36" s="10">
        <f>tblTrainActual[[#Totals],[May]]+tblMarkActual[[#Totals],[May]]+tblOffActual[[#Totals],[May]]+tblEmplActual[[#Totals],[May]]</f>
        <v>128255</v>
      </c>
      <c r="H36" s="10">
        <f>tblTrainActual[[#Totals],[Jun]]+tblMarkActual[[#Totals],[Jun]]+tblOffActual[[#Totals],[Jun]]+tblEmplActual[[#Totals],[Jun]]</f>
        <v>134239</v>
      </c>
      <c r="I36" s="10">
        <f>tblTrainActual[[#Totals],[Jul]]+tblMarkActual[[#Totals],[Jul]]+tblOffActual[[#Totals],[Jul]]+tblEmplActual[[#Totals],[Jul]]</f>
        <v>122526</v>
      </c>
      <c r="J36" s="10">
        <f>tblTrainActual[[#Totals],[Aug]]+tblMarkActual[[#Totals],[Aug]]+tblOffActual[[#Totals],[Aug]]+tblEmplActual[[#Totals],[Aug]]</f>
        <v>131561</v>
      </c>
      <c r="K36" s="10">
        <f>tblTrainActual[[#Totals],[Sep]]+tblMarkActual[[#Totals],[Sep]]+tblOffActual[[#Totals],[Sep]]+tblEmplActual[[#Totals],[Sep]]</f>
        <v>134750</v>
      </c>
      <c r="L36" s="10">
        <f>tblTrainActual[[#Totals],[Oct]]+tblMarkActual[[#Totals],[Oct]]+tblOffActual[[#Totals],[Oct]]+tblEmplActual[[#Totals],[Oct]]</f>
        <v>127140</v>
      </c>
      <c r="M36" s="10">
        <f>tblTrainActual[[#Totals],[Nov]]+tblMarkActual[[#Totals],[Nov]]+tblOffActual[[#Totals],[Nov]]+tblEmplActual[[#Totals],[Nov]]</f>
        <v>118490</v>
      </c>
      <c r="N36" s="10">
        <f>tblTrainActual[[#Totals],[Dec]]+tblMarkActual[[#Totals],[Dec]]+tblOffActual[[#Totals],[Dec]]+tblEmplActual[[#Totals],[Dec]]</f>
        <v>121966</v>
      </c>
      <c r="O36" s="46">
        <f>tblTrainActual[[#Totals],[YEAR]]+tblMarkActual[[#Totals],[YEAR]]+tblOffActual[[#Totals],[YEAR]]+tblEmplActual[[#Totals],[YEAR]]</f>
        <v>1539372</v>
      </c>
      <c r="P36" s="2"/>
    </row>
    <row r="37" spans="2:16" ht="24.95" customHeight="1">
      <c r="B37" s="47" t="s">
        <v>38</v>
      </c>
      <c r="C37" s="48">
        <f>SUM($C$36:C36)</f>
        <v>129682</v>
      </c>
      <c r="D37" s="49">
        <f>SUM($C$36:D36)</f>
        <v>257486</v>
      </c>
      <c r="E37" s="49">
        <f>SUM($C$36:E36)</f>
        <v>383051</v>
      </c>
      <c r="F37" s="49">
        <f>SUM($C$36:F36)</f>
        <v>520445</v>
      </c>
      <c r="G37" s="49">
        <f>SUM($C$36:G36)</f>
        <v>648700</v>
      </c>
      <c r="H37" s="49">
        <f>SUM($C$36:H36)</f>
        <v>782939</v>
      </c>
      <c r="I37" s="49">
        <f>SUM($C$36:I36)</f>
        <v>905465</v>
      </c>
      <c r="J37" s="49">
        <f>SUM($C$36:J36)</f>
        <v>1037026</v>
      </c>
      <c r="K37" s="49">
        <f>SUM($C$36:K36)</f>
        <v>1171776</v>
      </c>
      <c r="L37" s="49">
        <f>SUM($C$36:L36)</f>
        <v>1298916</v>
      </c>
      <c r="M37" s="49">
        <f>SUM($C$36:M36)</f>
        <v>1417406</v>
      </c>
      <c r="N37" s="49">
        <f>SUM($C$36:N36)</f>
        <v>1539372</v>
      </c>
      <c r="O37" s="50"/>
      <c r="P37" s="2"/>
    </row>
    <row r="38" spans="2:16" ht="21" customHeight="1">
      <c r="B38" s="9"/>
      <c r="C38" s="9"/>
      <c r="D38" s="9"/>
      <c r="E38" s="9"/>
      <c r="F38" s="9"/>
      <c r="G38" s="9"/>
      <c r="H38" s="9"/>
      <c r="I38" s="9"/>
      <c r="J38" s="9"/>
      <c r="K38" s="9"/>
      <c r="L38" s="11"/>
      <c r="M38" s="11"/>
      <c r="N38" s="11"/>
      <c r="O38" s="11"/>
    </row>
    <row r="39" spans="2:16" ht="21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2:16" ht="21" customHeight="1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2:16" ht="21" customHeight="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</sheetData>
  <mergeCells count="4">
    <mergeCell ref="B34:C34"/>
    <mergeCell ref="B29:C29"/>
    <mergeCell ref="B20:C20"/>
    <mergeCell ref="B9:C9"/>
  </mergeCells>
  <printOptions horizontalCentered="1"/>
  <pageMargins left="0.4" right="0.4" top="0.4" bottom="0.4" header="0.3" footer="0.3"/>
  <pageSetup fitToHeight="0" orientation="landscape" r:id="rId1"/>
  <headerFooter differentFirst="1">
    <oddFooter>Page &amp;P of &amp;N</oddFooter>
  </headerFooter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Expenses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Eugeniya Filippova (DevExpress)</dc:creator>
  <cp:lastModifiedBy>Eugeniya Filippova (DevExpress)</cp:lastModifiedBy>
  <dcterms:created xsi:type="dcterms:W3CDTF">2017-12-27T06:34:38Z</dcterms:created>
  <dcterms:modified xsi:type="dcterms:W3CDTF">2018-02-22T12:30:44Z</dcterms:modified>
</cp:coreProperties>
</file>