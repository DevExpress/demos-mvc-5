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6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C:\Work\2025.1\Demos.ASP\ASPxSpreadsheet\CS\App_Data\Documents\"/>
    </mc:Choice>
  </mc:AlternateContent>
  <bookViews>
    <workbookView xWindow="0" yWindow="760" windowWidth="34560" windowHeight="20300"/>
  </bookViews>
  <sheets>
    <sheet name="Automotive Repair Tracker" sheetId="1" r:id="rId1"/>
  </sheets>
  <definedNames>
    <definedName name="ColumnTitle1">Repairs[[#Headers], [DATE]]</definedName>
    <definedName name="RowTitleRegion1..C2">'Automotive Repair Tracker'!$B$2</definedName>
    <definedName name="RowTitleRegion2..C4">'Automotive Repair Tracker'!$B$3</definedName>
    <definedName name="RowTitleRegion3..E4">'Automotive Repair Tracker'!$D$3</definedName>
    <definedName name="Vehicle_1_Name">IF(RIGHT('Automotive Repair Tracker'!$B$3,5)="Total", TRIM(LEFT('Automotive Repair Tracker'!$B$3,SEARCH("TOTAL",'Automotive Repair Tracker'!$B$3)-1)),'Automotive Repair Tracker'!$B$3)</definedName>
    <definedName name="Vehicle_2_Name">IF(RIGHT('Automotive Repair Tracker'!$B$4,5)="Total", TRIM(LEFT('Automotive Repair Tracker'!$B$4,SEARCH("TOTAL",'Automotive Repair Tracker'!$B$4)-1)),'Automotive Repair Tracker'!$B$4)</definedName>
    <definedName name="_xlnm.Print_Titles" localSheetId="0">'Automotive Repair Tracker'!$5:$5</definedName>
  </definedNames>
  <calcPr/>
</workbook>
</file>

<file path=xl/calcChain.xml><?xml version="1.0" encoding="utf-8"?>
<calcChain xmlns="http://schemas.openxmlformats.org/spreadsheetml/2006/main">
  <c i="1" l="1" r="C4"/>
  <c r="C3"/>
  <c r="C2"/>
  <c r="B8"/>
  <c r="B7"/>
  <c r="B6"/>
  <c l="1" r="F4"/>
  <c r="F3"/>
  <c r="B9"/>
  <c r="B10"/>
  <c l="1" r="D4"/>
  <c r="D3"/>
</calcChain>
</file>

<file path=xl/sharedStrings.xml><?xml version="1.0" encoding="utf-8"?>
<sst xmlns="http://schemas.openxmlformats.org/spreadsheetml/2006/main">
  <si>
    <t>AUTOMOTIVE REPAIR TRACKER</t>
  </si>
  <si>
    <t>GRAND TOTAL</t>
  </si>
  <si>
    <t>VEHICLE 1 TOTAL</t>
  </si>
  <si>
    <t>VEHICLE 2 TOTAL</t>
  </si>
  <si>
    <t>DATE</t>
  </si>
  <si>
    <t>AMOUNT</t>
  </si>
  <si>
    <t>VEHICLE</t>
  </si>
  <si>
    <t>WHERE</t>
  </si>
  <si>
    <t>DESCRIPTION</t>
  </si>
  <si>
    <t>VEHICLE 1</t>
  </si>
  <si>
    <t>Dealer</t>
  </si>
  <si>
    <t>Replaced radiator</t>
  </si>
  <si>
    <t>VEHICLE 2</t>
  </si>
  <si>
    <t>Tire Shop</t>
  </si>
  <si>
    <t>4 new tires</t>
  </si>
  <si>
    <t>Body Shop</t>
  </si>
  <si>
    <t>Collision repair</t>
  </si>
  <si>
    <t>Fixed Alignment</t>
  </si>
  <si>
    <t>100,000 mile inspection and tune-up</t>
  </si>
</sst>
</file>

<file path=xl/styles.xml><?xml version="1.0" encoding="utf-8"?>
<styleSheet xmlns="http://schemas.openxmlformats.org/spreadsheetml/2006/main">
  <numFmts count="2">
    <numFmt numFmtId="164" formatCode="&quot;$&quot;#,##0.00"/>
    <numFmt numFmtId="43" formatCode="_(* #,##0.00_);_(* (#,##0.00);_(* &quot;-&quot;??_);_(@_)"/>
  </numFmts>
  <fonts count="7">
    <font>
      <sz val="11"/>
      <color theme="3"/>
      <name val="Calibri"/>
      <family val="2"/>
      <scheme val="minor"/>
    </font>
    <font>
      <b/>
      <sz val="20"/>
      <color theme="3"/>
      <name val="Calibri"/>
      <scheme val="major"/>
    </font>
    <font>
      <sz val="11"/>
      <color theme="4" tint="-0.499984740745262"/>
      <name val="Calibri"/>
      <scheme val="minor"/>
    </font>
    <font>
      <sz val="11"/>
      <name val="Calibri"/>
      <scheme val="minor"/>
    </font>
    <font>
      <sz val="11"/>
      <name val="Calibri"/>
      <scheme val="minor"/>
    </font>
    <font>
      <sz val="10"/>
      <color theme="3"/>
      <name val="Calibri"/>
      <scheme val="minor"/>
    </font>
    <font>
      <b/>
      <sz val="11"/>
      <color theme="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4" tint="-0.499984740745262"/>
        <bgColor indexed="64"/>
      </patternFill>
    </fill>
  </fills>
  <borders count="14">
    <border/>
    <border>
      <left style="thin">
        <color indexed="64"/>
      </left>
      <top style="thin">
        <color indexed="64"/>
      </top>
    </border>
    <border>
      <top style="thin">
        <color auto="1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bottom style="thin">
        <color theme="3"/>
      </bottom>
    </border>
    <border>
      <bottom style="thin">
        <color theme="3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bottom style="thin">
        <color indexed="64"/>
      </bottom>
    </border>
    <border>
      <top style="thin">
        <color indexed="64"/>
      </top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bottom style="thin">
        <color theme="0"/>
      </bottom>
    </border>
  </borders>
  <cellStyleXfs count="11">
    <xf numFmtId="0" fontId="0" fillId="0" borderId="0">
      <alignment horizontal="left" vertical="center" wrapText="1"/>
    </xf>
    <xf numFmtId="0" fontId="1" fillId="2" borderId="0"/>
    <xf numFmtId="0" fontId="0" fillId="2" borderId="0">
      <alignment vertical="center"/>
    </xf>
    <xf numFmtId="164" fontId="2" fillId="2" borderId="0" applyBorder="0" applyAlignment="0">
      <alignment horizontal="left" vertical="center"/>
    </xf>
    <xf numFmtId="0" fontId="0" fillId="2" borderId="7"/>
    <xf numFmtId="0" fontId="0" fillId="2" borderId="0">
      <alignment horizontal="left" vertical="top"/>
    </xf>
    <xf numFmtId="14" fontId="5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4" fontId="0" fillId="0" borderId="0" applyFont="0" applyFill="0" applyBorder="0" applyAlignment="0" applyProtection="0">
      <alignment horizontal="left" vertical="center"/>
    </xf>
    <xf numFmtId="0" fontId="6" fillId="3" borderId="13">
      <alignment vertical="center" wrapText="1"/>
    </xf>
    <xf numFmtId="164" fontId="6" fillId="3" borderId="13">
      <alignment horizontal="left" vertical="center"/>
    </xf>
  </cellStyleXfs>
  <cellXfs count="29">
    <xf numFmtId="0" fontId="0" fillId="0" borderId="0" xfId="0">
      <alignment horizontal="left" vertical="center" wrapText="1"/>
    </xf>
    <xf numFmtId="0" fontId="1" fillId="2" borderId="1" xfId="1" applyBorder="1"/>
    <xf numFmtId="0" fontId="1" fillId="2" borderId="2" xfId="1" applyBorder="1"/>
    <xf numFmtId="0" fontId="0" fillId="0" borderId="3" xfId="0" applyBorder="1">
      <alignment horizontal="left" vertical="center" wrapText="1"/>
    </xf>
    <xf numFmtId="0" fontId="0" fillId="2" borderId="4" xfId="2" applyBorder="1">
      <alignment vertical="center"/>
    </xf>
    <xf numFmtId="164" fontId="2" fillId="2" borderId="0" xfId="3" applyBorder="1">
      <alignment horizontal="left" vertical="center"/>
    </xf>
    <xf numFmtId="0" fontId="0" fillId="2" borderId="0" xfId="2">
      <alignment vertical="center"/>
    </xf>
    <xf numFmtId="0" fontId="0" fillId="0" borderId="5" xfId="0" applyBorder="1">
      <alignment horizontal="left" vertical="center" wrapText="1"/>
    </xf>
    <xf numFmtId="0" fontId="0" fillId="2" borderId="6" xfId="4" applyBorder="1"/>
    <xf numFmtId="164" fontId="2" fillId="2" borderId="7" xfId="3" applyBorder="1" applyAlignment="1">
      <alignment horizontal="left"/>
    </xf>
    <xf numFmtId="0" fontId="0" fillId="2" borderId="7" xfId="4"/>
    <xf numFmtId="0" fontId="0" fillId="2" borderId="4" xfId="5" applyBorder="1">
      <alignment horizontal="left" vertical="top"/>
    </xf>
    <xf numFmtId="164" fontId="2" fillId="2" borderId="0" xfId="3" applyBorder="1" applyAlignment="1">
      <alignment horizontal="left" vertical="top"/>
    </xf>
    <xf numFmtId="0" fontId="0" fillId="2" borderId="0" xfId="5">
      <alignment horizontal="left" vertical="top"/>
    </xf>
    <xf numFmtId="0" fontId="0" fillId="0" borderId="4" xfId="0" applyBorder="1">
      <alignment horizontal="left" vertical="center" wrapText="1"/>
    </xf>
    <xf numFmtId="14" fontId="0" fillId="0" borderId="8" xfId="6" applyFont="1" applyFill="1" applyBorder="1" applyAlignment="1">
      <alignment horizontal="left" vertical="center"/>
    </xf>
    <xf numFmtId="43" fontId="3" fillId="0" borderId="9" xfId="7" applyFont="1" applyFill="1" applyBorder="1" applyAlignment="1">
      <alignment horizontal="left" vertical="center"/>
    </xf>
    <xf numFmtId="43" fontId="3" fillId="0" borderId="9" xfId="7" applyFont="1" applyFill="1" applyBorder="1" applyAlignment="1">
      <alignment vertical="center" wrapText="1"/>
    </xf>
    <xf numFmtId="14" fontId="0" fillId="0" borderId="1" xfId="6" applyFont="1" applyFill="1" applyBorder="1" applyAlignment="1">
      <alignment horizontal="left" vertical="center"/>
    </xf>
    <xf numFmtId="43" fontId="3" fillId="0" borderId="10" xfId="7" applyFont="1" applyFill="1" applyBorder="1" applyAlignment="1">
      <alignment horizontal="left" vertical="center"/>
    </xf>
    <xf numFmtId="43" fontId="3" fillId="0" borderId="10" xfId="7" applyFont="1" applyFill="1" applyBorder="1" applyAlignment="1">
      <alignment vertical="center" wrapText="1"/>
    </xf>
    <xf numFmtId="14" fontId="0" fillId="0" borderId="4" xfId="6" applyFont="1" applyFill="1" applyBorder="1" applyAlignment="1">
      <alignment horizontal="left" vertical="center"/>
    </xf>
    <xf numFmtId="43" fontId="3" fillId="0" borderId="0" xfId="7" applyFont="1" applyFill="1" applyBorder="1" applyAlignment="1">
      <alignment horizontal="left" vertical="center"/>
    </xf>
    <xf numFmtId="43" fontId="3" fillId="0" borderId="0" xfId="7" applyFont="1" applyFill="1" applyBorder="1" applyAlignment="1">
      <alignment vertical="center" wrapText="1"/>
    </xf>
    <xf numFmtId="14" fontId="0" fillId="0" borderId="11" xfId="6" applyFont="1" applyFill="1" applyBorder="1" applyAlignment="1">
      <alignment horizontal="left" vertical="center"/>
    </xf>
    <xf numFmtId="0" fontId="0" fillId="0" borderId="9" xfId="0" applyBorder="1">
      <alignment horizontal="left" vertical="center" wrapText="1"/>
    </xf>
    <xf numFmtId="0" fontId="0" fillId="0" borderId="12" xfId="0" applyBorder="1">
      <alignment horizontal="left" vertical="center" wrapText="1"/>
    </xf>
    <xf numFmtId="14" fontId="4" fillId="0" borderId="0" xfId="6"/>
    <xf numFmtId="43" fontId="4" fillId="0" borderId="0" xfId="7"/>
  </cellXfs>
  <cellStyles count="11">
    <cellStyle name="Normal" xfId="0" builtinId="0" customBuiltin="1"/>
    <cellStyle name="Title" xfId="1" builtinId="15" customBuiltin="1"/>
    <cellStyle name="Heading 1" xfId="2" builtinId="16" customBuiltin="1"/>
    <cellStyle name="Currency [0]" xfId="3" builtinId="7" customBuiltin="1"/>
    <cellStyle name="Heading 2" xfId="4" builtinId="17" customBuiltin="1"/>
    <cellStyle name="Heading 3" xfId="5" builtinId="18" customBuiltin="1"/>
    <cellStyle name="Dates" xfId="6"/>
    <cellStyle name="Comma" xfId="7" builtinId="3"/>
    <cellStyle name="Date" xfId="8"/>
    <cellStyle name="Vehicle" xfId="9"/>
    <cellStyle name="Currency" xfId="10" builtinId="4" customBuiltin="1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ill>
        <patternFill>
          <bgColor theme="0" tint="-0.0499893185216834"/>
        </patternFill>
      </fill>
    </dxf>
    <dxf>
      <border>
        <horizontal style="thin">
          <color theme="3"/>
        </horizontal>
      </border>
    </dxf>
    <dxf>
      <font>
        <color theme="0"/>
      </font>
      <fill>
        <patternFill>
          <bgColor theme="3"/>
        </patternFill>
      </fill>
    </dxf>
  </dxfs>
  <tableStyles count="1" defaultTableStyle="Automotive Repair Tracker" defaultPivotStyle="PivotStyleLight16">
    <tableStyle name="Automotive Repair Tracker" pivot="0" count="2">
      <tableStyleElement type="wholeTable" dxfId="3"/>
      <tableStyleElement type="headerRow" dxfId="4"/>
    </tableStyle>
  </table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3095625" cy="173355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tables/table1.xml><?xml version="1.0" encoding="utf-8"?>
<table xmlns="http://schemas.openxmlformats.org/spreadsheetml/2006/main" id="1" name="Repairs" displayName="Repairs" ref="B5:F10" totalsRowShown="0" headerRowCellStyle="Normal">
  <autoFilter ref="B5:F10"/>
  <tableColumns count="5">
    <tableColumn id="1" name="DATE" dataDxfId="0" dataCellStyle="Dates"/>
    <tableColumn id="2" name="AMOUNT" dataDxfId="1" dataCellStyle="Comma"/>
    <tableColumn id="3" name="VEHICLE" dataDxfId="1" dataCellStyle="Comma"/>
    <tableColumn id="4" name="WHERE" dataCellStyle="Normal"/>
    <tableColumn id="5" name="DESCRIPTION" dataCellStyle="Normal"/>
  </tableColumns>
  <tableStyleInfo name="Automotive Repair Tracker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Automotive Repair Tracker">
      <a:dk1>
        <a:sysClr val="windowText"/>
      </a:dk1>
      <a:lt1>
        <a:sysClr val="window"/>
      </a:lt1>
      <a:dk2>
        <a:srgbClr val="555550"/>
      </a:dk2>
      <a:lt2>
        <a:srgbClr val="F1F7E8"/>
      </a:lt2>
      <a:accent1>
        <a:srgbClr val="FF8F0E"/>
      </a:accent1>
      <a:accent2>
        <a:srgbClr val="8CBC36"/>
      </a:accent2>
      <a:accent3>
        <a:srgbClr val="2199AF"/>
      </a:accent3>
      <a:accent4>
        <a:srgbClr val="DF4F36"/>
      </a:accent4>
      <a:accent5>
        <a:srgbClr val="F1D433"/>
      </a:accent5>
      <a:accent6>
        <a:srgbClr val="A16097"/>
      </a:accent6>
      <a:hlink>
        <a:srgbClr val="2199AF"/>
      </a:hlink>
      <a:folHlink>
        <a:srgbClr val="A16097"/>
      </a:folHlink>
    </a:clrScheme>
    <a:fontScheme name="Automotive Repair Tracker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table" Target="../tables/table1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>
    <tabColor theme="4"/>
    <pageSetUpPr autoPageBreaks="0" fitToPage="1"/>
  </sheetPr>
  <sheetViews>
    <sheetView tabSelected="1" showGridLines="0" zoomScaleNormal="100" workbookViewId="0">
      <selection activeCell="B6" sqref="B6"/>
    </sheetView>
  </sheetViews>
  <sheetFormatPr baseColWidth="10" defaultColWidth="8.851563" defaultRowHeight="30" customHeight="1"/>
  <cols>
    <col min="1" max="1" width="2.710938" customWidth="1"/>
    <col min="2" max="2" width="21.00391" customWidth="1"/>
    <col min="3" max="3" width="19.00391" customWidth="1"/>
    <col min="4" max="4" width="20.28125" customWidth="1"/>
    <col min="5" max="5" width="30.28125" customWidth="1"/>
    <col min="6" max="6" width="46.42188" customWidth="1"/>
    <col min="7" max="7" width="2.710938" customWidth="1"/>
  </cols>
  <sheetData>
    <row r="1" ht="39" customHeight="1">
      <c r="B1" s="1" t="s">
        <v>0</v>
      </c>
      <c r="C1" s="2"/>
      <c r="D1" s="2"/>
      <c r="E1" s="2"/>
      <c r="F1" s="3"/>
    </row>
    <row r="2" ht="39" customHeight="1">
      <c r="B2" s="4" t="s">
        <v>1</v>
      </c>
      <c r="C2" s="5">
        <f>IFERROR(SUM(Repairs[AMOUNT]), "")</f>
        <v>4751.5099999999993</v>
      </c>
      <c r="D2" s="6"/>
      <c r="E2" s="6"/>
      <c r="F2" s="7"/>
    </row>
    <row r="3" ht="19.5" customHeight="1">
      <c r="B3" s="8" t="s">
        <v>2</v>
      </c>
      <c r="C3" s="9">
        <f>IFERROR(SUMIFS(Repairs[AMOUNT],Repairs[VEHICLE],Vehicle_1_Name), "")</f>
        <v>4032.1100000000001</v>
      </c>
      <c r="D3" s="10" t="str">
        <f>Vehicle_1_Name &amp; "  VALUE"</f>
        <v xml:space="preserve">VEHICLE 1  VALUE</v>
      </c>
      <c r="E3" s="9">
        <v>14000</v>
      </c>
      <c r="F3" s="7" t="str">
        <f>Vehicle_1_Name</f>
        <v>VEHICLE 1</v>
      </c>
    </row>
    <row r="4" ht="39" customHeight="1">
      <c r="B4" s="11" t="s">
        <v>3</v>
      </c>
      <c r="C4" s="12">
        <f>IFERROR(SUMIFS(Repairs[AMOUNT],Repairs[VEHICLE],Vehicle_2_Name), "")</f>
        <v>719.39999999999998</v>
      </c>
      <c r="D4" s="13" t="str">
        <f>Vehicle_2_Name &amp; "  VALUE"</f>
        <v xml:space="preserve">VEHICLE 2  VALUE</v>
      </c>
      <c r="E4" s="12">
        <v>7000</v>
      </c>
      <c r="F4" s="7" t="str">
        <f>Vehicle_2_Name</f>
        <v>VEHICLE 2</v>
      </c>
    </row>
    <row r="5" ht="19.5" customHeight="1">
      <c r="B5" s="14" t="s">
        <v>4</v>
      </c>
      <c r="C5" t="s">
        <v>5</v>
      </c>
      <c r="D5" t="s">
        <v>6</v>
      </c>
      <c r="E5" t="s">
        <v>7</v>
      </c>
      <c r="F5" s="7" t="s">
        <v>8</v>
      </c>
    </row>
    <row r="6" ht="30" customHeight="1">
      <c r="B6" s="15">
        <f ca="1">TODAY()-800</f>
        <v>45033</v>
      </c>
      <c r="C6" s="16">
        <v>632.11000000000001</v>
      </c>
      <c r="D6" s="17" t="s">
        <v>9</v>
      </c>
      <c r="E6" t="s">
        <v>10</v>
      </c>
      <c r="F6" s="7" t="s">
        <v>11</v>
      </c>
    </row>
    <row r="7" ht="30" customHeight="1">
      <c r="B7" s="18">
        <f ca="1">TODAY()-270</f>
        <v>45563</v>
      </c>
      <c r="C7" s="19">
        <v>389.87</v>
      </c>
      <c r="D7" s="20" t="s">
        <v>12</v>
      </c>
      <c r="E7" t="s">
        <v>13</v>
      </c>
      <c r="F7" s="7" t="s">
        <v>14</v>
      </c>
    </row>
    <row r="8" ht="30" customHeight="1">
      <c r="B8" s="21">
        <f ca="1">TODAY()-400</f>
        <v>45433</v>
      </c>
      <c r="C8" s="19">
        <v>3400</v>
      </c>
      <c r="D8" s="20" t="s">
        <v>9</v>
      </c>
      <c r="E8" t="s">
        <v>15</v>
      </c>
      <c r="F8" s="7" t="s">
        <v>16</v>
      </c>
    </row>
    <row r="9" ht="30" customHeight="1">
      <c r="B9" s="21">
        <f ca="1">TODAY()-90</f>
        <v>45743</v>
      </c>
      <c r="C9" s="22">
        <v>89.989999999999995</v>
      </c>
      <c r="D9" s="23" t="s">
        <v>12</v>
      </c>
      <c r="E9" t="s">
        <v>13</v>
      </c>
      <c r="F9" s="7" t="s">
        <v>17</v>
      </c>
    </row>
    <row r="10" ht="30" customHeight="1">
      <c r="B10" s="24">
        <f ca="1">TODAY()</f>
        <v>45833</v>
      </c>
      <c r="C10" s="16">
        <v>239.53999999999999</v>
      </c>
      <c r="D10" s="17" t="s">
        <v>12</v>
      </c>
      <c r="E10" s="25" t="s">
        <v>10</v>
      </c>
      <c r="F10" s="26" t="s">
        <v>18</v>
      </c>
    </row>
  </sheetData>
  <conditionalFormatting sqref="B6:B30">
    <cfRule priority="1" dxfId="2" type="notContainsBlanks">
      <formula>LEN(TRIM(B6))&gt;0</formula>
    </cfRule>
  </conditionalFormatting>
  <dataValidations count="13">
    <dataValidation allowBlank="1" showErrorMessage="1" prompt="Grand Total is automatically calculated in cell at right" sqref="B2"/>
    <dataValidation allowBlank="1" showErrorMessage="1" prompt="Grand Total is automatically calculated in this cell" sqref="C2"/>
    <dataValidation allowBlank="1" showErrorMessage="1" prompt="Pre-pend Vehicle 1 name in this cell to use it under Vehicle column in Repairs table. Vehicle 1 Total is automatically updated in cell at right" sqref="B3"/>
    <dataValidation allowBlank="1" showErrorMessage="1" prompt="Vehicle 1 Total is automatically updated in this cell" sqref="C3"/>
    <dataValidation allowBlank="1" showErrorMessage="1" prompt="Pre-pend Vehicle 2 name in this cell to use it under Vehicle column in Repairs table. Vehicle 2 Total is automatically updated in cell at right" sqref="B4"/>
    <dataValidation allowBlank="1" showErrorMessage="1" prompt="Vehicle 2 Total is automatically updated in this cell" sqref="C4"/>
    <dataValidation allowBlank="1" showErrorMessage="1" prompt="Enter Value of vehicle in cell at right. Vehicle name is automatically updated from cell B3" sqref="D3"/>
    <dataValidation allowBlank="1" showErrorMessage="1" prompt="Enter Vehicle Value in this cell" sqref="E3:E4"/>
    <dataValidation allowBlank="1" showErrorMessage="1" prompt="Enter Value of vehicle in cell at right. Vehicle name is automatically updated from cell B4" sqref="D4"/>
    <dataValidation allowBlank="1" showErrorMessage="1" prompt="Title of this worksheet is in this cell. Grand Total and Vehicle Totals are automatically calculated in cells below" sqref="B1"/>
    <dataValidation allowBlank="1" showErrorMessage="1" prompt="Create a Car Repair Tracker in this workbook. Enter Vehicle Values in cells E3 and E4 and repair details in table starting in cell B5" sqref="A1"/>
    <dataValidation allowBlank="1" errorStyle="warning" showInputMessage="1" showErrorMessage="1" error="Select Vehicle Name from the list. Select CANCEL, then press ALT+DOWN ARROW for options, then DOWN ARROW and ENTER to make selection" sqref="D6:D10"/>
    <dataValidation allowBlank="1" showErrorMessage="1" sqref="B5:F5"/>
  </dataValidations>
  <printOptions horizontalCentered="1"/>
  <pageMargins left="0.45" right="0.45" top="0.75" bottom="0.75" header="0.3" footer="0.3"/>
  <pageSetup r:id="rId1" orientation="landscape" scale="87" fitToHeight="0"/>
  <headerFooter differentFirst="1">
    <oddFooter>Page &amp;P of &amp;N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>
  <Application>DevExpress Office File API/25.1.0.0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Anton Zhuravlev (DevExpress)</dc:creator>
  <dcterms:created xsi:type="dcterms:W3CDTF">2017-08-10T11:32:14Z</dcterms:created>
  <dcterms:modified xsi:type="dcterms:W3CDTF">2025-06-25T06:37:48Z</dcterms:modified>
</cp:coreProperties>
</file>